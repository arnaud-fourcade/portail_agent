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s1lagbl\dac\DAC\Site_PMC\Liens_utiles\"/>
    </mc:Choice>
  </mc:AlternateContent>
  <xr:revisionPtr revIDLastSave="0" documentId="13_ncr:1_{89675AFA-788C-4FB2-B5C5-4A491141EC4D}" xr6:coauthVersionLast="47" xr6:coauthVersionMax="47" xr10:uidLastSave="{00000000-0000-0000-0000-000000000000}"/>
  <bookViews>
    <workbookView xWindow="-120" yWindow="-120" windowWidth="29040" windowHeight="15840" firstSheet="2" activeTab="2" xr2:uid="{6A6623EB-44B3-4795-BB9D-10AD976FD3CA}"/>
  </bookViews>
  <sheets>
    <sheet name="SOURCE" sheetId="2" state="hidden" r:id="rId1"/>
    <sheet name="Table T3,4" sheetId="3" state="hidden" r:id="rId2"/>
    <sheet name="TIERS 0,1,2,3,4" sheetId="10" r:id="rId3"/>
    <sheet name="Table T2" sheetId="4" state="hidden" r:id="rId4"/>
    <sheet name="Table T0,1" sheetId="7" state="hidden" r:id="rId5"/>
    <sheet name="Table OUTREMER" sheetId="5" state="hidden" r:id="rId6"/>
  </sheets>
  <definedNames>
    <definedName name="_xlnm._FilterDatabase" localSheetId="2" hidden="1">'TIERS 0,1,2,3,4'!$A$4:$Q$100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2" i="5"/>
  <c r="C3" i="5"/>
  <c r="C4" i="5"/>
  <c r="C5" i="5"/>
  <c r="C6" i="5"/>
  <c r="C7" i="5"/>
  <c r="C9" i="5"/>
  <c r="C10" i="5"/>
  <c r="C11" i="5"/>
  <c r="C12" i="5"/>
  <c r="C13" i="5"/>
  <c r="C14" i="5"/>
  <c r="C15" i="5"/>
  <c r="C2" i="5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2" i="7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2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</calcChain>
</file>

<file path=xl/sharedStrings.xml><?xml version="1.0" encoding="utf-8"?>
<sst xmlns="http://schemas.openxmlformats.org/spreadsheetml/2006/main" count="5323" uniqueCount="153">
  <si>
    <t>Departement</t>
  </si>
  <si>
    <t>2A</t>
  </si>
  <si>
    <t>2B</t>
  </si>
  <si>
    <t>SDR OPSN et Petites Collectivités</t>
  </si>
  <si>
    <t>Virginie BORQUE</t>
  </si>
  <si>
    <t>Karine RAEPSAET</t>
  </si>
  <si>
    <t>Alyssia HYVART</t>
  </si>
  <si>
    <t>Marie-Laure TRESSOL GRACIA</t>
  </si>
  <si>
    <t>Jean-Yves BUZARE</t>
  </si>
  <si>
    <t>Virginie BORTOLON</t>
  </si>
  <si>
    <t>Adeline BENET</t>
  </si>
  <si>
    <t>Angelique ESTEVE</t>
  </si>
  <si>
    <t>Melanie RIBUOT</t>
  </si>
  <si>
    <t>Sylvie CAMBOULIVES</t>
  </si>
  <si>
    <t>Nathalie GRAVENHORST</t>
  </si>
  <si>
    <t>Virginie MALGOIRE</t>
  </si>
  <si>
    <t>Corinne REY</t>
  </si>
  <si>
    <t>Armelle ROGER</t>
  </si>
  <si>
    <t>Lucas WAUTELET</t>
  </si>
  <si>
    <t>Alexandra BENNANI-RUNGS</t>
  </si>
  <si>
    <t>Benedicte MAREILLE</t>
  </si>
  <si>
    <t>Bao LE TIEN</t>
  </si>
  <si>
    <t>Pascal LEFRERE</t>
  </si>
  <si>
    <t>Estelle MURIGNEUX</t>
  </si>
  <si>
    <t>Laurent REICH</t>
  </si>
  <si>
    <t>Kim BOYER</t>
  </si>
  <si>
    <t>Laurent FITZENTZ</t>
  </si>
  <si>
    <t>Magali MASSE</t>
  </si>
  <si>
    <t>Franck PINCHON</t>
  </si>
  <si>
    <t>Pascal CHOISIER</t>
  </si>
  <si>
    <t>Stephane LARIVIERE</t>
  </si>
  <si>
    <t>SDR T0,1,2</t>
  </si>
  <si>
    <t>Xavier COIC</t>
  </si>
  <si>
    <t>Gerard MINNAERT</t>
  </si>
  <si>
    <t>Amelie PEREZ</t>
  </si>
  <si>
    <t>Laurent CORMIER</t>
  </si>
  <si>
    <t>Virginie VILLIERE</t>
  </si>
  <si>
    <t>Robinson SOU</t>
  </si>
  <si>
    <t>SDR T3,4</t>
  </si>
  <si>
    <t>SDR OPSN T3,4</t>
  </si>
  <si>
    <t>AM T3,4</t>
  </si>
  <si>
    <t>AM T2</t>
  </si>
  <si>
    <t>AM OUTREMER</t>
  </si>
  <si>
    <t>Fatiha HOUHAMDI</t>
  </si>
  <si>
    <t>Frederic UHLMANN</t>
  </si>
  <si>
    <t>Ingénieur d’Affaires</t>
  </si>
  <si>
    <t>email</t>
  </si>
  <si>
    <t>Ingénieur d'affaires</t>
  </si>
  <si>
    <t>Profil</t>
  </si>
  <si>
    <t>Conseiller commercial</t>
  </si>
  <si>
    <t xml:space="preserve">SDR Petites Collectivités </t>
  </si>
  <si>
    <t>pascal</t>
  </si>
  <si>
    <t>lefrere</t>
  </si>
  <si>
    <t>kim</t>
  </si>
  <si>
    <t>boyer</t>
  </si>
  <si>
    <t>laurent</t>
  </si>
  <si>
    <t>reich</t>
  </si>
  <si>
    <t>magali</t>
  </si>
  <si>
    <t>masse</t>
  </si>
  <si>
    <t>franck</t>
  </si>
  <si>
    <t>pinchon</t>
  </si>
  <si>
    <t>choisier</t>
  </si>
  <si>
    <t>estelle</t>
  </si>
  <si>
    <t>murigneux</t>
  </si>
  <si>
    <t>stephane</t>
  </si>
  <si>
    <t>lariviere</t>
  </si>
  <si>
    <t>fitzentz</t>
  </si>
  <si>
    <t>.</t>
  </si>
  <si>
    <t>@</t>
  </si>
  <si>
    <t>berger-levrault.com</t>
  </si>
  <si>
    <t>virginie</t>
  </si>
  <si>
    <t>borque</t>
  </si>
  <si>
    <t>angelique</t>
  </si>
  <si>
    <t>esteve</t>
  </si>
  <si>
    <t>corinne</t>
  </si>
  <si>
    <t>rey</t>
  </si>
  <si>
    <t>lucas</t>
  </si>
  <si>
    <t>wautelet</t>
  </si>
  <si>
    <t>alexandra</t>
  </si>
  <si>
    <t>bennani-rungs</t>
  </si>
  <si>
    <t>alyssia</t>
  </si>
  <si>
    <t>hyvart</t>
  </si>
  <si>
    <t>jean-yves</t>
  </si>
  <si>
    <t>buzare</t>
  </si>
  <si>
    <t>adeline</t>
  </si>
  <si>
    <t>benet</t>
  </si>
  <si>
    <t>melanie</t>
  </si>
  <si>
    <t>ribuot</t>
  </si>
  <si>
    <t>sylvie</t>
  </si>
  <si>
    <t>camboulives</t>
  </si>
  <si>
    <t>nathalie</t>
  </si>
  <si>
    <t>gravenhorst</t>
  </si>
  <si>
    <t>armelle</t>
  </si>
  <si>
    <t>roger</t>
  </si>
  <si>
    <t>benedicte</t>
  </si>
  <si>
    <t>mareille</t>
  </si>
  <si>
    <t>bao</t>
  </si>
  <si>
    <t>KAM T0,1</t>
  </si>
  <si>
    <t>xavier</t>
  </si>
  <si>
    <t>coic</t>
  </si>
  <si>
    <t>gerard</t>
  </si>
  <si>
    <t>minnaert</t>
  </si>
  <si>
    <t>amelie</t>
  </si>
  <si>
    <t>perez</t>
  </si>
  <si>
    <t>cormier</t>
  </si>
  <si>
    <t>karine</t>
  </si>
  <si>
    <t>raepsaet</t>
  </si>
  <si>
    <t>marie-laure</t>
  </si>
  <si>
    <t>bortolon</t>
  </si>
  <si>
    <t>malgoire</t>
  </si>
  <si>
    <t>letien</t>
  </si>
  <si>
    <t>tressolgracia</t>
  </si>
  <si>
    <t>villiere</t>
  </si>
  <si>
    <t>robinson</t>
  </si>
  <si>
    <t>sou</t>
  </si>
  <si>
    <t>Responsable Grands Comptes</t>
  </si>
  <si>
    <t>Directeur des Ventes</t>
  </si>
  <si>
    <t>fatiha</t>
  </si>
  <si>
    <t>houhamdi</t>
  </si>
  <si>
    <t>frederic</t>
  </si>
  <si>
    <t>uhlmann</t>
  </si>
  <si>
    <t>AM Petites Collectivités</t>
  </si>
  <si>
    <t>AM AE Moyennes Collectivités</t>
  </si>
  <si>
    <t>SDR Moyennes et Grandes Collectivités</t>
  </si>
  <si>
    <t>TIERS 0,1</t>
  </si>
  <si>
    <t>TIERS 2</t>
  </si>
  <si>
    <t>TIERS 3,4</t>
  </si>
  <si>
    <t>Département</t>
  </si>
  <si>
    <t>ATAL</t>
  </si>
  <si>
    <t>Dessislava  RAFFESTIN</t>
  </si>
  <si>
    <t>Patrice BERNAT</t>
  </si>
  <si>
    <t>OUTREMER</t>
  </si>
  <si>
    <t>KAM AE</t>
  </si>
  <si>
    <t>AE Petites Collectivités</t>
  </si>
  <si>
    <t>Hervé ATUYER</t>
  </si>
  <si>
    <t>OPSN Virginie BORQUE</t>
  </si>
  <si>
    <t>Mathilde PARENDEL</t>
  </si>
  <si>
    <t>Emma VEILLER</t>
  </si>
  <si>
    <t>OPSN Alexandra BENNANI-RUNGS</t>
  </si>
  <si>
    <t>Laurent CHAMBERT</t>
  </si>
  <si>
    <t>NEW ACCOUNT
CROSS SELL
MIGRATIONS SAAS</t>
  </si>
  <si>
    <t>UPSELL
RENEW</t>
  </si>
  <si>
    <t>CROSS SELL
MIGRATIONS SAAS</t>
  </si>
  <si>
    <t>NEW ACCOUNT</t>
  </si>
  <si>
    <t>SDR Petites Collectivités
SDR OPSN et Petites Collectivités</t>
  </si>
  <si>
    <r>
      <t xml:space="preserve">SDR ATAL 
</t>
    </r>
    <r>
      <rPr>
        <b/>
        <sz val="11"/>
        <color rgb="FFC00000"/>
        <rFont val="Aptos Narrow"/>
        <family val="2"/>
        <scheme val="minor"/>
      </rPr>
      <t>Tous tiers</t>
    </r>
  </si>
  <si>
    <r>
      <t xml:space="preserve">AM AE ATAL 
</t>
    </r>
    <r>
      <rPr>
        <b/>
        <sz val="11"/>
        <color rgb="FFC00000"/>
        <rFont val="Aptos Narrow"/>
        <family val="2"/>
        <scheme val="minor"/>
      </rPr>
      <t>Tiers 2,3,4</t>
    </r>
  </si>
  <si>
    <r>
      <rPr>
        <b/>
        <sz val="11"/>
        <rFont val="Aptos Narrow"/>
        <family val="2"/>
        <scheme val="minor"/>
      </rPr>
      <t>AM</t>
    </r>
    <r>
      <rPr>
        <b/>
        <sz val="11"/>
        <color rgb="FFC00000"/>
        <rFont val="Aptos Narrow"/>
        <family val="2"/>
        <scheme val="minor"/>
      </rPr>
      <t xml:space="preserve">
Tiers 0,1,2,3,4</t>
    </r>
  </si>
  <si>
    <r>
      <rPr>
        <b/>
        <sz val="11"/>
        <rFont val="Aptos Narrow"/>
        <family val="2"/>
        <scheme val="minor"/>
      </rPr>
      <t>DIRECTEUR VENTES STRATEGIQUES</t>
    </r>
    <r>
      <rPr>
        <b/>
        <sz val="11"/>
        <color rgb="FFC00000"/>
        <rFont val="Aptos Narrow"/>
        <family val="2"/>
        <scheme val="minor"/>
      </rPr>
      <t xml:space="preserve">
Tiers 0,1,2,3,4</t>
    </r>
  </si>
  <si>
    <t>Jean-Michel SIMPLAT</t>
  </si>
  <si>
    <r>
      <t xml:space="preserve">AE ATAL 
</t>
    </r>
    <r>
      <rPr>
        <b/>
        <sz val="11"/>
        <color rgb="FFC00000"/>
        <rFont val="Aptos Narrow"/>
        <family val="2"/>
        <scheme val="minor"/>
      </rPr>
      <t>Tiers 0,1</t>
    </r>
  </si>
  <si>
    <t xml:space="preserve">
CROSS SELL
MIGRATIONS SAAS
UPSELL</t>
  </si>
  <si>
    <t xml:space="preserve">NEW ACCOUNT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</si>
</sst>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"/>
      <family val="2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3" xfId="0" applyBorder="1"/>
    <xf numFmtId="0" fontId="5" fillId="0" borderId="0" xfId="0" applyFont="1" applyAlignment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0" fillId="4" borderId="0" xfId="0" applyFill="1"/>
    <xf numFmtId="0" fontId="0" fillId="5" borderId="0" xfId="0" applyFill="1"/>
    <xf numFmtId="0" fontId="1" fillId="7" borderId="3" xfId="0" applyFont="1" applyFill="1" applyBorder="1" applyAlignment="1">
      <alignment horizontal="center" vertical="center" wrapText="1"/>
    </xf>
    <xf numFmtId="0" fontId="0" fillId="7" borderId="3" xfId="0" applyFill="1" applyBorder="1"/>
    <xf numFmtId="0" fontId="11" fillId="0" borderId="3" xfId="0" applyFont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44" fontId="7" fillId="6" borderId="8" xfId="1" applyFont="1" applyFill="1" applyBorder="1" applyAlignment="1">
      <alignment horizontal="center" vertical="center" wrapText="1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7" borderId="3" xfId="0" applyFill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FFFFCD"/>
      <color rgb="FFD7F5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1222-1B2A-4AD3-9670-17703B7E5E9D}">
  <dimension ref="A1:H113"/>
  <sheetViews>
    <sheetView topLeftCell="A91" workbookViewId="0">
      <selection activeCell="H1" activeCellId="1" sqref="A1:A1048576 H1:H1048576"/>
    </sheetView>
  </sheetViews>
  <sheetFormatPr baseColWidth="10" defaultRowHeight="15" x14ac:dyDescent="0.25"/>
  <sheetData>
    <row r="1" spans="1:8" x14ac:dyDescent="0.25">
      <c r="A1" t="s">
        <v>0</v>
      </c>
      <c r="B1" t="s">
        <v>38</v>
      </c>
      <c r="C1" t="s">
        <v>39</v>
      </c>
      <c r="D1" t="s">
        <v>31</v>
      </c>
      <c r="E1" t="s">
        <v>40</v>
      </c>
      <c r="F1" t="s">
        <v>41</v>
      </c>
      <c r="G1" t="s">
        <v>97</v>
      </c>
      <c r="H1" t="s">
        <v>42</v>
      </c>
    </row>
    <row r="2" spans="1:8" x14ac:dyDescent="0.25">
      <c r="A2" s="9">
        <v>1</v>
      </c>
      <c r="B2" t="s">
        <v>4</v>
      </c>
      <c r="C2" t="s">
        <v>4</v>
      </c>
      <c r="D2" t="s">
        <v>5</v>
      </c>
      <c r="E2" t="s">
        <v>22</v>
      </c>
      <c r="F2" t="s">
        <v>32</v>
      </c>
      <c r="G2" t="s">
        <v>36</v>
      </c>
    </row>
    <row r="3" spans="1:8" x14ac:dyDescent="0.25">
      <c r="A3" s="9">
        <v>2</v>
      </c>
      <c r="B3" t="s">
        <v>6</v>
      </c>
      <c r="D3" t="s">
        <v>7</v>
      </c>
      <c r="E3" t="s">
        <v>23</v>
      </c>
      <c r="F3" t="s">
        <v>33</v>
      </c>
      <c r="G3" t="s">
        <v>36</v>
      </c>
    </row>
    <row r="4" spans="1:8" x14ac:dyDescent="0.25">
      <c r="A4" s="9">
        <v>3</v>
      </c>
      <c r="B4" t="s">
        <v>8</v>
      </c>
      <c r="D4" t="s">
        <v>9</v>
      </c>
      <c r="E4" t="s">
        <v>24</v>
      </c>
      <c r="F4" t="s">
        <v>34</v>
      </c>
      <c r="G4" t="s">
        <v>36</v>
      </c>
    </row>
    <row r="5" spans="1:8" x14ac:dyDescent="0.25">
      <c r="A5" s="9">
        <v>4</v>
      </c>
      <c r="B5" t="s">
        <v>10</v>
      </c>
      <c r="D5" t="s">
        <v>5</v>
      </c>
      <c r="E5" t="s">
        <v>25</v>
      </c>
      <c r="F5" t="s">
        <v>32</v>
      </c>
      <c r="G5" t="s">
        <v>36</v>
      </c>
    </row>
    <row r="6" spans="1:8" x14ac:dyDescent="0.25">
      <c r="A6" s="9">
        <v>5</v>
      </c>
      <c r="B6" t="s">
        <v>10</v>
      </c>
      <c r="D6" t="s">
        <v>5</v>
      </c>
      <c r="E6" t="s">
        <v>25</v>
      </c>
      <c r="F6" t="s">
        <v>32</v>
      </c>
      <c r="G6" t="s">
        <v>36</v>
      </c>
    </row>
    <row r="7" spans="1:8" x14ac:dyDescent="0.25">
      <c r="A7" s="9">
        <v>6</v>
      </c>
      <c r="B7" t="s">
        <v>11</v>
      </c>
      <c r="C7" t="s">
        <v>11</v>
      </c>
      <c r="D7" t="s">
        <v>5</v>
      </c>
      <c r="E7" t="s">
        <v>25</v>
      </c>
      <c r="F7" t="s">
        <v>32</v>
      </c>
      <c r="G7" t="s">
        <v>36</v>
      </c>
    </row>
    <row r="8" spans="1:8" x14ac:dyDescent="0.25">
      <c r="A8" s="9">
        <v>7</v>
      </c>
      <c r="B8" t="s">
        <v>8</v>
      </c>
      <c r="D8" t="s">
        <v>5</v>
      </c>
      <c r="E8" t="s">
        <v>25</v>
      </c>
      <c r="F8" t="s">
        <v>32</v>
      </c>
      <c r="G8" t="s">
        <v>36</v>
      </c>
    </row>
    <row r="9" spans="1:8" x14ac:dyDescent="0.25">
      <c r="A9" s="9">
        <v>8</v>
      </c>
      <c r="B9" t="s">
        <v>12</v>
      </c>
      <c r="D9" t="s">
        <v>7</v>
      </c>
      <c r="E9" t="s">
        <v>26</v>
      </c>
      <c r="F9" t="s">
        <v>33</v>
      </c>
      <c r="G9" t="s">
        <v>36</v>
      </c>
    </row>
    <row r="10" spans="1:8" x14ac:dyDescent="0.25">
      <c r="A10" s="9">
        <v>9</v>
      </c>
      <c r="B10" t="s">
        <v>13</v>
      </c>
      <c r="D10" t="s">
        <v>9</v>
      </c>
      <c r="E10" t="s">
        <v>27</v>
      </c>
      <c r="F10" t="s">
        <v>34</v>
      </c>
      <c r="G10" t="s">
        <v>37</v>
      </c>
    </row>
    <row r="11" spans="1:8" x14ac:dyDescent="0.25">
      <c r="A11" s="9">
        <v>10</v>
      </c>
      <c r="B11" t="s">
        <v>12</v>
      </c>
      <c r="D11" t="s">
        <v>9</v>
      </c>
      <c r="E11" t="s">
        <v>23</v>
      </c>
      <c r="F11" t="s">
        <v>33</v>
      </c>
      <c r="G11" t="s">
        <v>36</v>
      </c>
    </row>
    <row r="12" spans="1:8" x14ac:dyDescent="0.25">
      <c r="A12" s="9">
        <v>11</v>
      </c>
      <c r="B12" t="s">
        <v>10</v>
      </c>
      <c r="D12" t="s">
        <v>9</v>
      </c>
      <c r="E12" t="s">
        <v>24</v>
      </c>
      <c r="F12" t="s">
        <v>34</v>
      </c>
      <c r="G12" t="s">
        <v>37</v>
      </c>
    </row>
    <row r="13" spans="1:8" x14ac:dyDescent="0.25">
      <c r="A13" s="9">
        <v>12</v>
      </c>
      <c r="B13" t="s">
        <v>4</v>
      </c>
      <c r="C13" t="s">
        <v>4</v>
      </c>
      <c r="D13" t="s">
        <v>9</v>
      </c>
      <c r="E13" t="s">
        <v>24</v>
      </c>
      <c r="F13" t="s">
        <v>34</v>
      </c>
      <c r="G13" t="s">
        <v>37</v>
      </c>
    </row>
    <row r="14" spans="1:8" x14ac:dyDescent="0.25">
      <c r="A14" s="9">
        <v>13</v>
      </c>
      <c r="B14" t="s">
        <v>10</v>
      </c>
      <c r="D14" t="s">
        <v>5</v>
      </c>
      <c r="E14" t="s">
        <v>25</v>
      </c>
      <c r="F14" t="s">
        <v>32</v>
      </c>
      <c r="G14" t="s">
        <v>36</v>
      </c>
    </row>
    <row r="15" spans="1:8" x14ac:dyDescent="0.25">
      <c r="A15" s="9">
        <v>14</v>
      </c>
      <c r="B15" t="s">
        <v>14</v>
      </c>
      <c r="D15" t="s">
        <v>15</v>
      </c>
      <c r="E15" t="s">
        <v>28</v>
      </c>
      <c r="F15" t="s">
        <v>35</v>
      </c>
      <c r="G15" t="s">
        <v>37</v>
      </c>
    </row>
    <row r="16" spans="1:8" x14ac:dyDescent="0.25">
      <c r="A16" s="9">
        <v>15</v>
      </c>
      <c r="B16" t="s">
        <v>16</v>
      </c>
      <c r="C16" t="s">
        <v>16</v>
      </c>
      <c r="D16" t="s">
        <v>9</v>
      </c>
      <c r="E16" t="s">
        <v>24</v>
      </c>
      <c r="F16" t="s">
        <v>34</v>
      </c>
      <c r="G16" t="s">
        <v>36</v>
      </c>
    </row>
    <row r="17" spans="1:7" x14ac:dyDescent="0.25">
      <c r="A17" s="9">
        <v>16</v>
      </c>
      <c r="B17" t="s">
        <v>16</v>
      </c>
      <c r="C17" t="s">
        <v>16</v>
      </c>
      <c r="D17" t="s">
        <v>9</v>
      </c>
      <c r="E17" t="s">
        <v>27</v>
      </c>
      <c r="F17" t="s">
        <v>34</v>
      </c>
      <c r="G17" t="s">
        <v>37</v>
      </c>
    </row>
    <row r="18" spans="1:7" x14ac:dyDescent="0.25">
      <c r="A18" s="9">
        <v>17</v>
      </c>
      <c r="B18" t="s">
        <v>17</v>
      </c>
      <c r="D18" t="s">
        <v>9</v>
      </c>
      <c r="E18" t="s">
        <v>27</v>
      </c>
      <c r="F18" t="s">
        <v>34</v>
      </c>
      <c r="G18" t="s">
        <v>37</v>
      </c>
    </row>
    <row r="19" spans="1:7" x14ac:dyDescent="0.25">
      <c r="A19" s="9">
        <v>18</v>
      </c>
      <c r="B19" t="s">
        <v>17</v>
      </c>
      <c r="D19" t="s">
        <v>9</v>
      </c>
      <c r="E19" t="s">
        <v>24</v>
      </c>
      <c r="F19" t="s">
        <v>35</v>
      </c>
      <c r="G19" t="s">
        <v>37</v>
      </c>
    </row>
    <row r="20" spans="1:7" x14ac:dyDescent="0.25">
      <c r="A20" s="9">
        <v>19</v>
      </c>
      <c r="B20" t="s">
        <v>17</v>
      </c>
      <c r="D20" t="s">
        <v>9</v>
      </c>
      <c r="E20" t="s">
        <v>24</v>
      </c>
      <c r="F20" t="s">
        <v>34</v>
      </c>
      <c r="G20" t="s">
        <v>37</v>
      </c>
    </row>
    <row r="21" spans="1:7" x14ac:dyDescent="0.25">
      <c r="A21" s="9">
        <v>20</v>
      </c>
      <c r="B21" t="s">
        <v>11</v>
      </c>
      <c r="C21" t="s">
        <v>11</v>
      </c>
      <c r="D21" t="s">
        <v>5</v>
      </c>
      <c r="E21" t="s">
        <v>25</v>
      </c>
      <c r="F21" t="s">
        <v>32</v>
      </c>
      <c r="G21" t="s">
        <v>36</v>
      </c>
    </row>
    <row r="22" spans="1:7" x14ac:dyDescent="0.25">
      <c r="A22" s="9">
        <v>21</v>
      </c>
      <c r="B22" t="s">
        <v>12</v>
      </c>
      <c r="D22" t="s">
        <v>9</v>
      </c>
      <c r="E22" t="s">
        <v>23</v>
      </c>
      <c r="F22" t="s">
        <v>32</v>
      </c>
      <c r="G22" t="s">
        <v>36</v>
      </c>
    </row>
    <row r="23" spans="1:7" x14ac:dyDescent="0.25">
      <c r="A23" s="9">
        <v>22</v>
      </c>
      <c r="B23" t="s">
        <v>16</v>
      </c>
      <c r="C23" t="s">
        <v>16</v>
      </c>
      <c r="D23" t="s">
        <v>15</v>
      </c>
      <c r="E23" t="s">
        <v>28</v>
      </c>
      <c r="F23" t="s">
        <v>35</v>
      </c>
      <c r="G23" t="s">
        <v>37</v>
      </c>
    </row>
    <row r="24" spans="1:7" x14ac:dyDescent="0.25">
      <c r="A24" s="9">
        <v>23</v>
      </c>
      <c r="B24" t="s">
        <v>17</v>
      </c>
      <c r="D24" t="s">
        <v>9</v>
      </c>
      <c r="E24" t="s">
        <v>24</v>
      </c>
      <c r="F24" t="s">
        <v>34</v>
      </c>
      <c r="G24" t="s">
        <v>37</v>
      </c>
    </row>
    <row r="25" spans="1:7" x14ac:dyDescent="0.25">
      <c r="A25" s="9">
        <v>24</v>
      </c>
      <c r="B25" t="s">
        <v>11</v>
      </c>
      <c r="C25" t="s">
        <v>11</v>
      </c>
      <c r="D25" t="s">
        <v>9</v>
      </c>
      <c r="E25" t="s">
        <v>27</v>
      </c>
      <c r="F25" t="s">
        <v>34</v>
      </c>
      <c r="G25" t="s">
        <v>37</v>
      </c>
    </row>
    <row r="26" spans="1:7" x14ac:dyDescent="0.25">
      <c r="A26" s="9">
        <v>25</v>
      </c>
      <c r="B26" t="s">
        <v>16</v>
      </c>
      <c r="C26" t="s">
        <v>16</v>
      </c>
      <c r="D26" t="s">
        <v>5</v>
      </c>
      <c r="E26" t="s">
        <v>22</v>
      </c>
      <c r="F26" t="s">
        <v>32</v>
      </c>
      <c r="G26" t="s">
        <v>36</v>
      </c>
    </row>
    <row r="27" spans="1:7" x14ac:dyDescent="0.25">
      <c r="A27" s="9">
        <v>26</v>
      </c>
      <c r="B27" t="s">
        <v>8</v>
      </c>
      <c r="D27" t="s">
        <v>5</v>
      </c>
      <c r="E27" t="s">
        <v>25</v>
      </c>
      <c r="F27" t="s">
        <v>32</v>
      </c>
      <c r="G27" t="s">
        <v>36</v>
      </c>
    </row>
    <row r="28" spans="1:7" x14ac:dyDescent="0.25">
      <c r="A28" s="9">
        <v>27</v>
      </c>
      <c r="B28" t="s">
        <v>14</v>
      </c>
      <c r="D28" t="s">
        <v>15</v>
      </c>
      <c r="E28" t="s">
        <v>28</v>
      </c>
      <c r="F28" t="s">
        <v>35</v>
      </c>
      <c r="G28" t="s">
        <v>37</v>
      </c>
    </row>
    <row r="29" spans="1:7" x14ac:dyDescent="0.25">
      <c r="A29" s="9">
        <v>28</v>
      </c>
      <c r="B29" t="s">
        <v>17</v>
      </c>
      <c r="D29" t="s">
        <v>15</v>
      </c>
      <c r="E29" t="s">
        <v>29</v>
      </c>
      <c r="F29" t="s">
        <v>35</v>
      </c>
      <c r="G29" t="s">
        <v>37</v>
      </c>
    </row>
    <row r="30" spans="1:7" x14ac:dyDescent="0.25">
      <c r="A30" s="9">
        <v>29</v>
      </c>
      <c r="B30" t="s">
        <v>14</v>
      </c>
      <c r="D30" t="s">
        <v>15</v>
      </c>
      <c r="E30" t="s">
        <v>28</v>
      </c>
      <c r="F30" t="s">
        <v>35</v>
      </c>
      <c r="G30" t="s">
        <v>37</v>
      </c>
    </row>
    <row r="31" spans="1:7" x14ac:dyDescent="0.25">
      <c r="A31" s="9">
        <v>30</v>
      </c>
      <c r="B31" t="s">
        <v>10</v>
      </c>
      <c r="D31" t="s">
        <v>9</v>
      </c>
      <c r="E31" t="s">
        <v>25</v>
      </c>
      <c r="F31" t="s">
        <v>32</v>
      </c>
      <c r="G31" t="s">
        <v>37</v>
      </c>
    </row>
    <row r="32" spans="1:7" x14ac:dyDescent="0.25">
      <c r="A32" s="9">
        <v>31</v>
      </c>
      <c r="B32" t="s">
        <v>18</v>
      </c>
      <c r="C32" t="s">
        <v>18</v>
      </c>
      <c r="D32" t="s">
        <v>9</v>
      </c>
      <c r="E32" t="s">
        <v>27</v>
      </c>
      <c r="F32" t="s">
        <v>34</v>
      </c>
      <c r="G32" t="s">
        <v>37</v>
      </c>
    </row>
    <row r="33" spans="1:7" x14ac:dyDescent="0.25">
      <c r="A33" s="9">
        <v>32</v>
      </c>
      <c r="B33" t="s">
        <v>13</v>
      </c>
      <c r="D33" t="s">
        <v>9</v>
      </c>
      <c r="E33" t="s">
        <v>27</v>
      </c>
      <c r="F33" t="s">
        <v>34</v>
      </c>
      <c r="G33" t="s">
        <v>37</v>
      </c>
    </row>
    <row r="34" spans="1:7" x14ac:dyDescent="0.25">
      <c r="A34" s="9">
        <v>33</v>
      </c>
      <c r="B34" t="s">
        <v>13</v>
      </c>
      <c r="D34" t="s">
        <v>9</v>
      </c>
      <c r="E34" t="s">
        <v>27</v>
      </c>
      <c r="F34" t="s">
        <v>34</v>
      </c>
      <c r="G34" t="s">
        <v>37</v>
      </c>
    </row>
    <row r="35" spans="1:7" x14ac:dyDescent="0.25">
      <c r="A35" s="9">
        <v>34</v>
      </c>
      <c r="B35" t="s">
        <v>10</v>
      </c>
      <c r="D35" t="s">
        <v>9</v>
      </c>
      <c r="E35" t="s">
        <v>24</v>
      </c>
      <c r="F35" t="s">
        <v>34</v>
      </c>
      <c r="G35" t="s">
        <v>37</v>
      </c>
    </row>
    <row r="36" spans="1:7" x14ac:dyDescent="0.25">
      <c r="A36" s="9">
        <v>35</v>
      </c>
      <c r="B36" t="s">
        <v>14</v>
      </c>
      <c r="D36" t="s">
        <v>15</v>
      </c>
      <c r="E36" t="s">
        <v>28</v>
      </c>
      <c r="F36" t="s">
        <v>35</v>
      </c>
      <c r="G36" t="s">
        <v>37</v>
      </c>
    </row>
    <row r="37" spans="1:7" x14ac:dyDescent="0.25">
      <c r="A37" s="9">
        <v>36</v>
      </c>
      <c r="B37" t="s">
        <v>17</v>
      </c>
      <c r="D37" t="s">
        <v>15</v>
      </c>
      <c r="E37" t="s">
        <v>29</v>
      </c>
      <c r="F37" t="s">
        <v>35</v>
      </c>
      <c r="G37" t="s">
        <v>37</v>
      </c>
    </row>
    <row r="38" spans="1:7" x14ac:dyDescent="0.25">
      <c r="A38" s="9">
        <v>37</v>
      </c>
      <c r="B38" t="s">
        <v>17</v>
      </c>
      <c r="D38" t="s">
        <v>15</v>
      </c>
      <c r="E38" t="s">
        <v>29</v>
      </c>
      <c r="F38" t="s">
        <v>35</v>
      </c>
      <c r="G38" t="s">
        <v>37</v>
      </c>
    </row>
    <row r="39" spans="1:7" x14ac:dyDescent="0.25">
      <c r="A39" s="9">
        <v>38</v>
      </c>
      <c r="B39" t="s">
        <v>4</v>
      </c>
      <c r="C39" t="s">
        <v>4</v>
      </c>
      <c r="D39" t="s">
        <v>5</v>
      </c>
      <c r="E39" t="s">
        <v>25</v>
      </c>
      <c r="F39" t="s">
        <v>32</v>
      </c>
      <c r="G39" t="s">
        <v>36</v>
      </c>
    </row>
    <row r="40" spans="1:7" x14ac:dyDescent="0.25">
      <c r="A40" s="9">
        <v>39</v>
      </c>
      <c r="B40" t="s">
        <v>16</v>
      </c>
      <c r="C40" t="s">
        <v>16</v>
      </c>
      <c r="D40" t="s">
        <v>5</v>
      </c>
      <c r="E40" t="s">
        <v>22</v>
      </c>
      <c r="F40" t="s">
        <v>32</v>
      </c>
      <c r="G40" t="s">
        <v>36</v>
      </c>
    </row>
    <row r="41" spans="1:7" x14ac:dyDescent="0.25">
      <c r="A41" s="9">
        <v>40</v>
      </c>
      <c r="B41" t="s">
        <v>13</v>
      </c>
      <c r="D41" t="s">
        <v>9</v>
      </c>
      <c r="E41" t="s">
        <v>27</v>
      </c>
      <c r="F41" t="s">
        <v>34</v>
      </c>
      <c r="G41" t="s">
        <v>37</v>
      </c>
    </row>
    <row r="42" spans="1:7" x14ac:dyDescent="0.25">
      <c r="A42" s="9">
        <v>41</v>
      </c>
      <c r="B42" t="s">
        <v>17</v>
      </c>
      <c r="D42" t="s">
        <v>15</v>
      </c>
      <c r="E42" t="s">
        <v>29</v>
      </c>
      <c r="F42" t="s">
        <v>35</v>
      </c>
      <c r="G42" t="s">
        <v>37</v>
      </c>
    </row>
    <row r="43" spans="1:7" x14ac:dyDescent="0.25">
      <c r="A43" s="9">
        <v>42</v>
      </c>
      <c r="B43" t="s">
        <v>8</v>
      </c>
      <c r="D43" t="s">
        <v>5</v>
      </c>
      <c r="E43" t="s">
        <v>24</v>
      </c>
      <c r="F43" t="s">
        <v>34</v>
      </c>
      <c r="G43" t="s">
        <v>36</v>
      </c>
    </row>
    <row r="44" spans="1:7" x14ac:dyDescent="0.25">
      <c r="A44" s="9">
        <v>43</v>
      </c>
      <c r="B44" t="s">
        <v>16</v>
      </c>
      <c r="C44" t="s">
        <v>16</v>
      </c>
      <c r="D44" t="s">
        <v>9</v>
      </c>
      <c r="E44" t="s">
        <v>24</v>
      </c>
      <c r="F44" t="s">
        <v>34</v>
      </c>
      <c r="G44" t="s">
        <v>36</v>
      </c>
    </row>
    <row r="45" spans="1:7" x14ac:dyDescent="0.25">
      <c r="A45" s="9">
        <v>44</v>
      </c>
      <c r="B45" t="s">
        <v>19</v>
      </c>
      <c r="C45" t="s">
        <v>19</v>
      </c>
      <c r="D45" t="s">
        <v>15</v>
      </c>
      <c r="E45" t="s">
        <v>29</v>
      </c>
      <c r="F45" t="s">
        <v>35</v>
      </c>
      <c r="G45" t="s">
        <v>37</v>
      </c>
    </row>
    <row r="46" spans="1:7" x14ac:dyDescent="0.25">
      <c r="A46" s="9">
        <v>45</v>
      </c>
      <c r="B46" t="s">
        <v>12</v>
      </c>
      <c r="D46" t="s">
        <v>15</v>
      </c>
      <c r="E46" t="s">
        <v>23</v>
      </c>
      <c r="F46" t="s">
        <v>35</v>
      </c>
      <c r="G46" t="s">
        <v>37</v>
      </c>
    </row>
    <row r="47" spans="1:7" x14ac:dyDescent="0.25">
      <c r="A47" s="9">
        <v>46</v>
      </c>
      <c r="B47" t="s">
        <v>16</v>
      </c>
      <c r="C47" t="s">
        <v>16</v>
      </c>
      <c r="D47" t="s">
        <v>9</v>
      </c>
      <c r="E47" t="s">
        <v>24</v>
      </c>
      <c r="F47" t="s">
        <v>34</v>
      </c>
      <c r="G47" t="s">
        <v>37</v>
      </c>
    </row>
    <row r="48" spans="1:7" x14ac:dyDescent="0.25">
      <c r="A48" s="9">
        <v>47</v>
      </c>
      <c r="B48" t="s">
        <v>13</v>
      </c>
      <c r="D48" t="s">
        <v>9</v>
      </c>
      <c r="E48" t="s">
        <v>27</v>
      </c>
      <c r="F48" t="s">
        <v>34</v>
      </c>
      <c r="G48" t="s">
        <v>37</v>
      </c>
    </row>
    <row r="49" spans="1:7" x14ac:dyDescent="0.25">
      <c r="A49" s="9">
        <v>48</v>
      </c>
      <c r="B49" t="s">
        <v>10</v>
      </c>
      <c r="D49" t="s">
        <v>9</v>
      </c>
      <c r="E49" t="s">
        <v>24</v>
      </c>
      <c r="F49" t="s">
        <v>34</v>
      </c>
      <c r="G49" t="s">
        <v>37</v>
      </c>
    </row>
    <row r="50" spans="1:7" x14ac:dyDescent="0.25">
      <c r="A50" s="9">
        <v>49</v>
      </c>
      <c r="B50" t="s">
        <v>19</v>
      </c>
      <c r="C50" t="s">
        <v>19</v>
      </c>
      <c r="D50" t="s">
        <v>15</v>
      </c>
      <c r="E50" t="s">
        <v>29</v>
      </c>
      <c r="F50" t="s">
        <v>35</v>
      </c>
      <c r="G50" t="s">
        <v>37</v>
      </c>
    </row>
    <row r="51" spans="1:7" x14ac:dyDescent="0.25">
      <c r="A51" s="9">
        <v>50</v>
      </c>
      <c r="B51" t="s">
        <v>4</v>
      </c>
      <c r="C51" t="s">
        <v>4</v>
      </c>
      <c r="D51" t="s">
        <v>15</v>
      </c>
      <c r="E51" t="s">
        <v>28</v>
      </c>
      <c r="F51" t="s">
        <v>35</v>
      </c>
      <c r="G51" t="s">
        <v>37</v>
      </c>
    </row>
    <row r="52" spans="1:7" x14ac:dyDescent="0.25">
      <c r="A52" s="9">
        <v>51</v>
      </c>
      <c r="B52" t="s">
        <v>12</v>
      </c>
      <c r="D52" t="s">
        <v>7</v>
      </c>
      <c r="E52" t="s">
        <v>23</v>
      </c>
      <c r="F52" t="s">
        <v>33</v>
      </c>
      <c r="G52" t="s">
        <v>36</v>
      </c>
    </row>
    <row r="53" spans="1:7" x14ac:dyDescent="0.25">
      <c r="A53" s="9">
        <v>52</v>
      </c>
      <c r="B53" t="s">
        <v>20</v>
      </c>
      <c r="D53" t="s">
        <v>9</v>
      </c>
      <c r="E53" t="s">
        <v>23</v>
      </c>
      <c r="F53" t="s">
        <v>33</v>
      </c>
      <c r="G53" t="s">
        <v>36</v>
      </c>
    </row>
    <row r="54" spans="1:7" x14ac:dyDescent="0.25">
      <c r="A54" s="9">
        <v>53</v>
      </c>
      <c r="B54" t="s">
        <v>19</v>
      </c>
      <c r="C54" t="s">
        <v>19</v>
      </c>
      <c r="D54" t="s">
        <v>15</v>
      </c>
      <c r="E54" t="s">
        <v>28</v>
      </c>
      <c r="F54" t="s">
        <v>35</v>
      </c>
      <c r="G54" t="s">
        <v>37</v>
      </c>
    </row>
    <row r="55" spans="1:7" x14ac:dyDescent="0.25">
      <c r="A55" s="9">
        <v>54</v>
      </c>
      <c r="B55" t="s">
        <v>20</v>
      </c>
      <c r="D55" t="s">
        <v>7</v>
      </c>
      <c r="E55" t="s">
        <v>26</v>
      </c>
      <c r="F55" t="s">
        <v>33</v>
      </c>
      <c r="G55" t="s">
        <v>36</v>
      </c>
    </row>
    <row r="56" spans="1:7" x14ac:dyDescent="0.25">
      <c r="A56" s="9">
        <v>55</v>
      </c>
      <c r="B56" t="s">
        <v>20</v>
      </c>
      <c r="D56" t="s">
        <v>7</v>
      </c>
      <c r="E56" t="s">
        <v>26</v>
      </c>
      <c r="F56" t="s">
        <v>33</v>
      </c>
      <c r="G56" t="s">
        <v>36</v>
      </c>
    </row>
    <row r="57" spans="1:7" x14ac:dyDescent="0.25">
      <c r="A57" s="9">
        <v>56</v>
      </c>
      <c r="B57" t="s">
        <v>14</v>
      </c>
      <c r="D57" t="s">
        <v>15</v>
      </c>
      <c r="E57" t="s">
        <v>28</v>
      </c>
      <c r="F57" t="s">
        <v>35</v>
      </c>
      <c r="G57" t="s">
        <v>37</v>
      </c>
    </row>
    <row r="58" spans="1:7" x14ac:dyDescent="0.25">
      <c r="A58" s="9">
        <v>57</v>
      </c>
      <c r="B58" t="s">
        <v>20</v>
      </c>
      <c r="D58" t="s">
        <v>7</v>
      </c>
      <c r="E58" t="s">
        <v>26</v>
      </c>
      <c r="F58" t="s">
        <v>33</v>
      </c>
      <c r="G58" t="s">
        <v>36</v>
      </c>
    </row>
    <row r="59" spans="1:7" x14ac:dyDescent="0.25">
      <c r="A59" s="9">
        <v>58</v>
      </c>
      <c r="B59" t="s">
        <v>16</v>
      </c>
      <c r="C59" t="s">
        <v>16</v>
      </c>
      <c r="D59" t="s">
        <v>9</v>
      </c>
      <c r="E59" t="s">
        <v>23</v>
      </c>
      <c r="F59" t="s">
        <v>32</v>
      </c>
      <c r="G59" t="s">
        <v>36</v>
      </c>
    </row>
    <row r="60" spans="1:7" x14ac:dyDescent="0.25">
      <c r="A60" s="9">
        <v>59</v>
      </c>
      <c r="B60" t="s">
        <v>6</v>
      </c>
      <c r="D60" t="s">
        <v>7</v>
      </c>
      <c r="E60" t="s">
        <v>30</v>
      </c>
      <c r="F60" t="s">
        <v>33</v>
      </c>
      <c r="G60" t="s">
        <v>36</v>
      </c>
    </row>
    <row r="61" spans="1:7" x14ac:dyDescent="0.25">
      <c r="A61" s="9">
        <v>60</v>
      </c>
      <c r="B61" t="s">
        <v>4</v>
      </c>
      <c r="C61" t="s">
        <v>4</v>
      </c>
      <c r="D61" t="s">
        <v>7</v>
      </c>
      <c r="E61" t="s">
        <v>30</v>
      </c>
      <c r="F61" t="s">
        <v>33</v>
      </c>
      <c r="G61" t="s">
        <v>36</v>
      </c>
    </row>
    <row r="62" spans="1:7" x14ac:dyDescent="0.25">
      <c r="A62" s="9">
        <v>61</v>
      </c>
      <c r="B62" t="s">
        <v>14</v>
      </c>
      <c r="D62" t="s">
        <v>15</v>
      </c>
      <c r="E62" t="s">
        <v>28</v>
      </c>
      <c r="F62" t="s">
        <v>35</v>
      </c>
      <c r="G62" t="s">
        <v>37</v>
      </c>
    </row>
    <row r="63" spans="1:7" x14ac:dyDescent="0.25">
      <c r="A63" s="9">
        <v>62</v>
      </c>
      <c r="B63" t="s">
        <v>6</v>
      </c>
      <c r="D63" t="s">
        <v>7</v>
      </c>
      <c r="E63" t="s">
        <v>30</v>
      </c>
      <c r="F63" t="s">
        <v>33</v>
      </c>
      <c r="G63" t="s">
        <v>36</v>
      </c>
    </row>
    <row r="64" spans="1:7" x14ac:dyDescent="0.25">
      <c r="A64" s="9">
        <v>63</v>
      </c>
      <c r="B64" t="s">
        <v>16</v>
      </c>
      <c r="C64" t="s">
        <v>16</v>
      </c>
      <c r="D64" t="s">
        <v>9</v>
      </c>
      <c r="E64" t="s">
        <v>24</v>
      </c>
      <c r="F64" t="s">
        <v>34</v>
      </c>
      <c r="G64" t="s">
        <v>36</v>
      </c>
    </row>
    <row r="65" spans="1:7" x14ac:dyDescent="0.25">
      <c r="A65" s="9">
        <v>64</v>
      </c>
      <c r="B65" t="s">
        <v>13</v>
      </c>
      <c r="D65" t="s">
        <v>9</v>
      </c>
      <c r="E65" t="s">
        <v>27</v>
      </c>
      <c r="F65" t="s">
        <v>34</v>
      </c>
      <c r="G65" t="s">
        <v>37</v>
      </c>
    </row>
    <row r="66" spans="1:7" x14ac:dyDescent="0.25">
      <c r="A66" s="9">
        <v>65</v>
      </c>
      <c r="B66" t="s">
        <v>13</v>
      </c>
      <c r="D66" t="s">
        <v>9</v>
      </c>
      <c r="E66" t="s">
        <v>27</v>
      </c>
      <c r="F66" t="s">
        <v>34</v>
      </c>
      <c r="G66" t="s">
        <v>37</v>
      </c>
    </row>
    <row r="67" spans="1:7" x14ac:dyDescent="0.25">
      <c r="A67" s="9">
        <v>66</v>
      </c>
      <c r="B67" t="s">
        <v>13</v>
      </c>
      <c r="D67" t="s">
        <v>9</v>
      </c>
      <c r="E67" t="s">
        <v>27</v>
      </c>
      <c r="F67" t="s">
        <v>34</v>
      </c>
      <c r="G67" t="s">
        <v>37</v>
      </c>
    </row>
    <row r="68" spans="1:7" x14ac:dyDescent="0.25">
      <c r="A68" s="9">
        <v>67</v>
      </c>
      <c r="B68" t="s">
        <v>20</v>
      </c>
      <c r="D68" t="s">
        <v>7</v>
      </c>
      <c r="E68" t="s">
        <v>26</v>
      </c>
      <c r="F68" t="s">
        <v>33</v>
      </c>
      <c r="G68" t="s">
        <v>36</v>
      </c>
    </row>
    <row r="69" spans="1:7" x14ac:dyDescent="0.25">
      <c r="A69" s="9">
        <v>68</v>
      </c>
      <c r="B69" t="s">
        <v>20</v>
      </c>
      <c r="D69" t="s">
        <v>7</v>
      </c>
      <c r="E69" t="s">
        <v>26</v>
      </c>
      <c r="F69" t="s">
        <v>33</v>
      </c>
      <c r="G69" t="s">
        <v>36</v>
      </c>
    </row>
    <row r="70" spans="1:7" x14ac:dyDescent="0.25">
      <c r="A70" s="9">
        <v>69</v>
      </c>
      <c r="B70" t="s">
        <v>8</v>
      </c>
      <c r="D70" t="s">
        <v>5</v>
      </c>
      <c r="E70" t="s">
        <v>22</v>
      </c>
      <c r="F70" t="s">
        <v>32</v>
      </c>
      <c r="G70" t="s">
        <v>36</v>
      </c>
    </row>
    <row r="71" spans="1:7" x14ac:dyDescent="0.25">
      <c r="A71" s="9">
        <v>70</v>
      </c>
      <c r="B71" t="s">
        <v>16</v>
      </c>
      <c r="C71" t="s">
        <v>16</v>
      </c>
      <c r="D71" t="s">
        <v>5</v>
      </c>
      <c r="E71" t="s">
        <v>26</v>
      </c>
      <c r="F71" t="s">
        <v>32</v>
      </c>
      <c r="G71" t="s">
        <v>36</v>
      </c>
    </row>
    <row r="72" spans="1:7" x14ac:dyDescent="0.25">
      <c r="A72" s="9">
        <v>71</v>
      </c>
      <c r="B72" t="s">
        <v>12</v>
      </c>
      <c r="D72" t="s">
        <v>5</v>
      </c>
      <c r="E72" t="s">
        <v>22</v>
      </c>
      <c r="F72" t="s">
        <v>32</v>
      </c>
      <c r="G72" t="s">
        <v>36</v>
      </c>
    </row>
    <row r="73" spans="1:7" x14ac:dyDescent="0.25">
      <c r="A73" s="9">
        <v>72</v>
      </c>
      <c r="B73" t="s">
        <v>19</v>
      </c>
      <c r="C73" t="s">
        <v>19</v>
      </c>
      <c r="D73" t="s">
        <v>15</v>
      </c>
      <c r="E73" t="s">
        <v>29</v>
      </c>
      <c r="F73" t="s">
        <v>35</v>
      </c>
      <c r="G73" t="s">
        <v>37</v>
      </c>
    </row>
    <row r="74" spans="1:7" x14ac:dyDescent="0.25">
      <c r="A74" s="9">
        <v>73</v>
      </c>
      <c r="B74" t="s">
        <v>4</v>
      </c>
      <c r="C74" t="s">
        <v>4</v>
      </c>
      <c r="D74" t="s">
        <v>5</v>
      </c>
      <c r="E74" t="s">
        <v>25</v>
      </c>
      <c r="F74" t="s">
        <v>32</v>
      </c>
      <c r="G74" t="s">
        <v>36</v>
      </c>
    </row>
    <row r="75" spans="1:7" x14ac:dyDescent="0.25">
      <c r="A75" s="9">
        <v>74</v>
      </c>
      <c r="B75" t="s">
        <v>11</v>
      </c>
      <c r="C75" t="s">
        <v>11</v>
      </c>
      <c r="D75" t="s">
        <v>5</v>
      </c>
      <c r="E75" t="s">
        <v>25</v>
      </c>
      <c r="F75" t="s">
        <v>32</v>
      </c>
      <c r="G75" t="s">
        <v>36</v>
      </c>
    </row>
    <row r="76" spans="1:7" x14ac:dyDescent="0.25">
      <c r="A76" s="9">
        <v>75</v>
      </c>
      <c r="B76" t="s">
        <v>21</v>
      </c>
      <c r="D76" t="s">
        <v>7</v>
      </c>
      <c r="E76" t="s">
        <v>30</v>
      </c>
      <c r="F76" t="s">
        <v>33</v>
      </c>
      <c r="G76" t="s">
        <v>37</v>
      </c>
    </row>
    <row r="77" spans="1:7" x14ac:dyDescent="0.25">
      <c r="A77" s="9">
        <v>76</v>
      </c>
      <c r="B77" t="s">
        <v>6</v>
      </c>
      <c r="D77" t="s">
        <v>15</v>
      </c>
      <c r="E77" t="s">
        <v>28</v>
      </c>
      <c r="F77" t="s">
        <v>35</v>
      </c>
      <c r="G77" t="s">
        <v>37</v>
      </c>
    </row>
    <row r="78" spans="1:7" x14ac:dyDescent="0.25">
      <c r="A78" s="9">
        <v>77</v>
      </c>
      <c r="B78" t="s">
        <v>21</v>
      </c>
      <c r="D78" t="s">
        <v>7</v>
      </c>
      <c r="E78" t="s">
        <v>23</v>
      </c>
      <c r="F78" t="s">
        <v>33</v>
      </c>
      <c r="G78" t="s">
        <v>37</v>
      </c>
    </row>
    <row r="79" spans="1:7" x14ac:dyDescent="0.25">
      <c r="A79" s="9">
        <v>78</v>
      </c>
      <c r="B79" t="s">
        <v>21</v>
      </c>
      <c r="D79" t="s">
        <v>7</v>
      </c>
      <c r="E79" t="s">
        <v>30</v>
      </c>
      <c r="F79" t="s">
        <v>33</v>
      </c>
      <c r="G79" t="s">
        <v>37</v>
      </c>
    </row>
    <row r="80" spans="1:7" x14ac:dyDescent="0.25">
      <c r="A80" s="9">
        <v>79</v>
      </c>
      <c r="B80" t="s">
        <v>17</v>
      </c>
      <c r="D80" t="s">
        <v>15</v>
      </c>
      <c r="E80" t="s">
        <v>29</v>
      </c>
      <c r="F80" t="s">
        <v>35</v>
      </c>
      <c r="G80" t="s">
        <v>37</v>
      </c>
    </row>
    <row r="81" spans="1:7" x14ac:dyDescent="0.25">
      <c r="A81" s="9">
        <v>80</v>
      </c>
      <c r="B81" t="s">
        <v>6</v>
      </c>
      <c r="D81" t="s">
        <v>7</v>
      </c>
      <c r="E81" t="s">
        <v>30</v>
      </c>
      <c r="F81" t="s">
        <v>33</v>
      </c>
      <c r="G81" t="s">
        <v>36</v>
      </c>
    </row>
    <row r="82" spans="1:7" x14ac:dyDescent="0.25">
      <c r="A82" s="9">
        <v>81</v>
      </c>
      <c r="B82" t="s">
        <v>16</v>
      </c>
      <c r="C82" t="s">
        <v>16</v>
      </c>
      <c r="D82" t="s">
        <v>9</v>
      </c>
      <c r="E82" t="s">
        <v>24</v>
      </c>
      <c r="F82" t="s">
        <v>34</v>
      </c>
      <c r="G82" t="s">
        <v>37</v>
      </c>
    </row>
    <row r="83" spans="1:7" x14ac:dyDescent="0.25">
      <c r="A83" s="9">
        <v>82</v>
      </c>
      <c r="B83" t="s">
        <v>4</v>
      </c>
      <c r="C83" t="s">
        <v>4</v>
      </c>
      <c r="D83" t="s">
        <v>9</v>
      </c>
      <c r="E83" t="s">
        <v>24</v>
      </c>
      <c r="F83" t="s">
        <v>34</v>
      </c>
      <c r="G83" t="s">
        <v>37</v>
      </c>
    </row>
    <row r="84" spans="1:7" x14ac:dyDescent="0.25">
      <c r="A84" s="9">
        <v>83</v>
      </c>
      <c r="B84" t="s">
        <v>11</v>
      </c>
      <c r="C84" t="s">
        <v>11</v>
      </c>
      <c r="D84" t="s">
        <v>5</v>
      </c>
      <c r="E84" t="s">
        <v>25</v>
      </c>
      <c r="F84" t="s">
        <v>32</v>
      </c>
      <c r="G84" t="s">
        <v>36</v>
      </c>
    </row>
    <row r="85" spans="1:7" x14ac:dyDescent="0.25">
      <c r="A85" s="9">
        <v>84</v>
      </c>
      <c r="B85" t="s">
        <v>10</v>
      </c>
      <c r="D85" t="s">
        <v>5</v>
      </c>
      <c r="E85" t="s">
        <v>25</v>
      </c>
      <c r="F85" t="s">
        <v>32</v>
      </c>
      <c r="G85" t="s">
        <v>36</v>
      </c>
    </row>
    <row r="86" spans="1:7" x14ac:dyDescent="0.25">
      <c r="A86" s="9">
        <v>85</v>
      </c>
      <c r="B86" t="s">
        <v>19</v>
      </c>
      <c r="C86" t="s">
        <v>19</v>
      </c>
      <c r="D86" t="s">
        <v>15</v>
      </c>
      <c r="E86" t="s">
        <v>29</v>
      </c>
      <c r="F86" t="s">
        <v>35</v>
      </c>
      <c r="G86" t="s">
        <v>37</v>
      </c>
    </row>
    <row r="87" spans="1:7" x14ac:dyDescent="0.25">
      <c r="A87" s="9">
        <v>86</v>
      </c>
      <c r="B87" t="s">
        <v>17</v>
      </c>
      <c r="D87" t="s">
        <v>15</v>
      </c>
      <c r="E87" t="s">
        <v>29</v>
      </c>
      <c r="F87" t="s">
        <v>35</v>
      </c>
      <c r="G87" t="s">
        <v>37</v>
      </c>
    </row>
    <row r="88" spans="1:7" x14ac:dyDescent="0.25">
      <c r="A88" s="9">
        <v>87</v>
      </c>
      <c r="B88" t="s">
        <v>17</v>
      </c>
      <c r="D88" t="s">
        <v>9</v>
      </c>
      <c r="E88" t="s">
        <v>24</v>
      </c>
      <c r="F88" t="s">
        <v>34</v>
      </c>
      <c r="G88" t="s">
        <v>37</v>
      </c>
    </row>
    <row r="89" spans="1:7" x14ac:dyDescent="0.25">
      <c r="A89" s="9">
        <v>88</v>
      </c>
      <c r="B89" t="s">
        <v>20</v>
      </c>
      <c r="D89" t="s">
        <v>7</v>
      </c>
      <c r="E89" t="s">
        <v>26</v>
      </c>
      <c r="F89" t="s">
        <v>33</v>
      </c>
      <c r="G89" t="s">
        <v>36</v>
      </c>
    </row>
    <row r="90" spans="1:7" x14ac:dyDescent="0.25">
      <c r="A90" s="9">
        <v>89</v>
      </c>
      <c r="B90" t="s">
        <v>12</v>
      </c>
      <c r="D90" t="s">
        <v>9</v>
      </c>
      <c r="E90" t="s">
        <v>23</v>
      </c>
      <c r="F90" t="s">
        <v>32</v>
      </c>
      <c r="G90" t="s">
        <v>36</v>
      </c>
    </row>
    <row r="91" spans="1:7" x14ac:dyDescent="0.25">
      <c r="A91" s="9">
        <v>90</v>
      </c>
      <c r="B91" t="s">
        <v>16</v>
      </c>
      <c r="C91" t="s">
        <v>16</v>
      </c>
      <c r="D91" t="s">
        <v>5</v>
      </c>
      <c r="E91" t="s">
        <v>26</v>
      </c>
      <c r="F91" t="s">
        <v>32</v>
      </c>
      <c r="G91" t="s">
        <v>36</v>
      </c>
    </row>
    <row r="92" spans="1:7" x14ac:dyDescent="0.25">
      <c r="A92" s="9">
        <v>91</v>
      </c>
      <c r="B92" t="s">
        <v>21</v>
      </c>
      <c r="D92" t="s">
        <v>7</v>
      </c>
      <c r="E92" t="s">
        <v>30</v>
      </c>
      <c r="F92" t="s">
        <v>33</v>
      </c>
      <c r="G92" t="s">
        <v>37</v>
      </c>
    </row>
    <row r="93" spans="1:7" x14ac:dyDescent="0.25">
      <c r="A93" s="9">
        <v>92</v>
      </c>
      <c r="B93" t="s">
        <v>21</v>
      </c>
      <c r="D93" t="s">
        <v>7</v>
      </c>
      <c r="E93" t="s">
        <v>30</v>
      </c>
      <c r="F93" t="s">
        <v>33</v>
      </c>
      <c r="G93" t="s">
        <v>37</v>
      </c>
    </row>
    <row r="94" spans="1:7" x14ac:dyDescent="0.25">
      <c r="A94" s="9">
        <v>93</v>
      </c>
      <c r="B94" t="s">
        <v>21</v>
      </c>
      <c r="D94" t="s">
        <v>7</v>
      </c>
      <c r="E94" t="s">
        <v>30</v>
      </c>
      <c r="F94" t="s">
        <v>33</v>
      </c>
      <c r="G94" t="s">
        <v>37</v>
      </c>
    </row>
    <row r="95" spans="1:7" x14ac:dyDescent="0.25">
      <c r="A95" s="9">
        <v>94</v>
      </c>
      <c r="B95" t="s">
        <v>21</v>
      </c>
      <c r="D95" t="s">
        <v>7</v>
      </c>
      <c r="E95" t="s">
        <v>30</v>
      </c>
      <c r="F95" t="s">
        <v>33</v>
      </c>
      <c r="G95" t="s">
        <v>37</v>
      </c>
    </row>
    <row r="96" spans="1:7" x14ac:dyDescent="0.25">
      <c r="A96" s="9">
        <v>95</v>
      </c>
      <c r="B96" t="s">
        <v>21</v>
      </c>
      <c r="D96" t="s">
        <v>7</v>
      </c>
      <c r="E96" t="s">
        <v>30</v>
      </c>
      <c r="F96" t="s">
        <v>33</v>
      </c>
      <c r="G96" t="s">
        <v>37</v>
      </c>
    </row>
    <row r="97" spans="1:8" x14ac:dyDescent="0.25">
      <c r="A97" s="9">
        <v>98</v>
      </c>
      <c r="B97" t="s">
        <v>10</v>
      </c>
      <c r="D97" t="s">
        <v>5</v>
      </c>
      <c r="E97" t="s">
        <v>25</v>
      </c>
      <c r="F97" t="s">
        <v>32</v>
      </c>
      <c r="G97" t="s">
        <v>36</v>
      </c>
    </row>
    <row r="98" spans="1:8" x14ac:dyDescent="0.25">
      <c r="A98" s="9">
        <v>980</v>
      </c>
      <c r="B98" t="s">
        <v>10</v>
      </c>
      <c r="D98" t="s">
        <v>5</v>
      </c>
      <c r="E98" t="s">
        <v>25</v>
      </c>
      <c r="F98" t="s">
        <v>32</v>
      </c>
      <c r="G98" t="s">
        <v>36</v>
      </c>
      <c r="H98" s="8"/>
    </row>
    <row r="99" spans="1:8" x14ac:dyDescent="0.25">
      <c r="A99" s="9" t="s">
        <v>1</v>
      </c>
      <c r="B99" t="s">
        <v>11</v>
      </c>
      <c r="C99" t="s">
        <v>11</v>
      </c>
      <c r="D99" t="s">
        <v>5</v>
      </c>
      <c r="E99" t="s">
        <v>25</v>
      </c>
      <c r="F99" t="s">
        <v>32</v>
      </c>
      <c r="G99" t="s">
        <v>36</v>
      </c>
      <c r="H99" s="6"/>
    </row>
    <row r="100" spans="1:8" x14ac:dyDescent="0.25">
      <c r="A100" s="9" t="s">
        <v>2</v>
      </c>
      <c r="B100" t="s">
        <v>11</v>
      </c>
      <c r="C100" t="s">
        <v>11</v>
      </c>
      <c r="D100" t="s">
        <v>5</v>
      </c>
      <c r="E100" t="s">
        <v>25</v>
      </c>
      <c r="F100" t="s">
        <v>32</v>
      </c>
      <c r="G100" t="s">
        <v>36</v>
      </c>
      <c r="H100" s="6"/>
    </row>
    <row r="101" spans="1:8" x14ac:dyDescent="0.25">
      <c r="A101" s="9">
        <v>971</v>
      </c>
      <c r="H101" s="5" t="s">
        <v>43</v>
      </c>
    </row>
    <row r="102" spans="1:8" x14ac:dyDescent="0.25">
      <c r="A102" s="9">
        <v>972</v>
      </c>
      <c r="H102" s="7" t="s">
        <v>43</v>
      </c>
    </row>
    <row r="103" spans="1:8" x14ac:dyDescent="0.25">
      <c r="A103" s="9">
        <v>973</v>
      </c>
      <c r="H103" s="5" t="s">
        <v>43</v>
      </c>
    </row>
    <row r="104" spans="1:8" x14ac:dyDescent="0.25">
      <c r="A104" s="9">
        <v>974</v>
      </c>
      <c r="H104" s="2" t="s">
        <v>43</v>
      </c>
    </row>
    <row r="105" spans="1:8" x14ac:dyDescent="0.25">
      <c r="A105" s="9">
        <v>975</v>
      </c>
      <c r="H105" s="1" t="s">
        <v>43</v>
      </c>
    </row>
    <row r="106" spans="1:8" x14ac:dyDescent="0.25">
      <c r="A106" s="9">
        <v>976</v>
      </c>
      <c r="H106" s="2" t="s">
        <v>43</v>
      </c>
    </row>
    <row r="107" spans="1:8" x14ac:dyDescent="0.25">
      <c r="A107" s="9">
        <v>977</v>
      </c>
      <c r="H107" s="2" t="s">
        <v>44</v>
      </c>
    </row>
    <row r="108" spans="1:8" x14ac:dyDescent="0.25">
      <c r="A108" s="9">
        <v>978</v>
      </c>
      <c r="H108" s="1" t="s">
        <v>44</v>
      </c>
    </row>
    <row r="109" spans="1:8" x14ac:dyDescent="0.25">
      <c r="A109" s="9">
        <v>984</v>
      </c>
      <c r="H109" s="4" t="s">
        <v>44</v>
      </c>
    </row>
    <row r="110" spans="1:8" x14ac:dyDescent="0.25">
      <c r="A110" s="9">
        <v>986</v>
      </c>
      <c r="H110" s="3" t="s">
        <v>44</v>
      </c>
    </row>
    <row r="111" spans="1:8" x14ac:dyDescent="0.25">
      <c r="A111" s="9">
        <v>987</v>
      </c>
      <c r="H111" s="4" t="s">
        <v>44</v>
      </c>
    </row>
    <row r="112" spans="1:8" x14ac:dyDescent="0.25">
      <c r="A112" s="9">
        <v>988</v>
      </c>
      <c r="H112" s="3" t="s">
        <v>44</v>
      </c>
    </row>
    <row r="113" spans="1:8" x14ac:dyDescent="0.25">
      <c r="A113" s="9">
        <v>989</v>
      </c>
      <c r="H113" s="3" t="s">
        <v>44</v>
      </c>
    </row>
  </sheetData>
  <sortState xmlns:xlrd2="http://schemas.microsoft.com/office/spreadsheetml/2017/richdata2" ref="A2:H162">
    <sortCondition ref="A2:A1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CF4E-1F30-4109-99B6-4058FDDB8325}">
  <dimension ref="A1:R100"/>
  <sheetViews>
    <sheetView topLeftCell="E82" workbookViewId="0">
      <selection activeCell="E82" sqref="A1:XFD1048576"/>
    </sheetView>
  </sheetViews>
  <sheetFormatPr baseColWidth="10" defaultRowHeight="15" x14ac:dyDescent="0.25"/>
  <cols>
    <col min="2" max="2" width="17.28515625" bestFit="1" customWidth="1"/>
    <col min="3" max="3" width="12" bestFit="1" customWidth="1"/>
    <col min="4" max="4" width="12" customWidth="1"/>
    <col min="5" max="5" width="1.5703125" bestFit="1" customWidth="1"/>
    <col min="6" max="6" width="12" customWidth="1"/>
    <col min="7" max="7" width="2.7109375" bestFit="1" customWidth="1"/>
    <col min="8" max="8" width="17" bestFit="1" customWidth="1"/>
    <col min="9" max="9" width="33.42578125" bestFit="1" customWidth="1"/>
    <col min="10" max="10" width="23.85546875" bestFit="1" customWidth="1"/>
    <col min="14" max="14" width="1.5703125" bestFit="1" customWidth="1"/>
    <col min="16" max="16" width="4" bestFit="1" customWidth="1"/>
    <col min="17" max="17" width="17" bestFit="1" customWidth="1"/>
    <col min="18" max="18" width="39.140625" bestFit="1" customWidth="1"/>
  </cols>
  <sheetData>
    <row r="1" spans="1:18" x14ac:dyDescent="0.25">
      <c r="A1" t="s">
        <v>0</v>
      </c>
      <c r="B1" t="s">
        <v>47</v>
      </c>
      <c r="C1" t="s">
        <v>46</v>
      </c>
      <c r="D1" t="s">
        <v>46</v>
      </c>
      <c r="J1" s="10" t="s">
        <v>49</v>
      </c>
      <c r="K1" t="s">
        <v>48</v>
      </c>
      <c r="L1" t="s">
        <v>46</v>
      </c>
      <c r="M1" t="s">
        <v>46</v>
      </c>
    </row>
    <row r="2" spans="1:18" x14ac:dyDescent="0.25">
      <c r="A2">
        <v>1</v>
      </c>
      <c r="B2" t="s">
        <v>22</v>
      </c>
      <c r="C2" t="str">
        <f>LOWER(B2)</f>
        <v>pascal lefrere</v>
      </c>
      <c r="D2" t="s">
        <v>51</v>
      </c>
      <c r="E2" t="s">
        <v>67</v>
      </c>
      <c r="F2" t="s">
        <v>52</v>
      </c>
      <c r="G2" t="s">
        <v>68</v>
      </c>
      <c r="H2" t="s">
        <v>69</v>
      </c>
      <c r="I2" t="str">
        <f>CONCATENATE(D2,E2,F2,G2,H2)</f>
        <v>pascal.lefrere@berger-levrault.com</v>
      </c>
      <c r="J2" t="s">
        <v>4</v>
      </c>
      <c r="K2" t="s">
        <v>3</v>
      </c>
      <c r="L2" t="str">
        <f>LOWER(J2)</f>
        <v>virginie borque</v>
      </c>
      <c r="M2" t="s">
        <v>70</v>
      </c>
      <c r="N2" t="s">
        <v>67</v>
      </c>
      <c r="O2" t="s">
        <v>71</v>
      </c>
      <c r="P2" t="s">
        <v>68</v>
      </c>
      <c r="Q2" t="s">
        <v>69</v>
      </c>
      <c r="R2" t="str">
        <f>CONCATENATE(M2,N2,O2,P2,Q2,)</f>
        <v>virginie.borque@berger-levrault.com</v>
      </c>
    </row>
    <row r="3" spans="1:18" x14ac:dyDescent="0.25">
      <c r="A3">
        <v>6</v>
      </c>
      <c r="B3" t="s">
        <v>25</v>
      </c>
      <c r="C3" t="str">
        <f t="shared" ref="C3:C66" si="0">LOWER(B3)</f>
        <v>kim boyer</v>
      </c>
      <c r="D3" t="s">
        <v>53</v>
      </c>
      <c r="E3" t="s">
        <v>67</v>
      </c>
      <c r="F3" t="s">
        <v>54</v>
      </c>
      <c r="G3" t="s">
        <v>68</v>
      </c>
      <c r="H3" t="s">
        <v>69</v>
      </c>
      <c r="I3" t="str">
        <f t="shared" ref="I3:I66" si="1">CONCATENATE(D3,E3,F3,G3,H3)</f>
        <v>kim.boyer@berger-levrault.com</v>
      </c>
      <c r="J3" t="s">
        <v>11</v>
      </c>
      <c r="K3" t="s">
        <v>3</v>
      </c>
      <c r="L3" t="str">
        <f t="shared" ref="L3:L66" si="2">LOWER(J3)</f>
        <v>angelique esteve</v>
      </c>
      <c r="M3" t="s">
        <v>72</v>
      </c>
      <c r="N3" t="s">
        <v>67</v>
      </c>
      <c r="O3" t="s">
        <v>73</v>
      </c>
      <c r="P3" t="s">
        <v>68</v>
      </c>
      <c r="Q3" t="s">
        <v>69</v>
      </c>
      <c r="R3" t="str">
        <f t="shared" ref="R3:R66" si="3">CONCATENATE(M3,N3,O3,P3,Q3,)</f>
        <v>angelique.esteve@berger-levrault.com</v>
      </c>
    </row>
    <row r="4" spans="1:18" x14ac:dyDescent="0.25">
      <c r="A4">
        <v>12</v>
      </c>
      <c r="B4" t="s">
        <v>24</v>
      </c>
      <c r="C4" t="str">
        <f t="shared" si="0"/>
        <v>laurent reich</v>
      </c>
      <c r="D4" t="s">
        <v>55</v>
      </c>
      <c r="E4" t="s">
        <v>67</v>
      </c>
      <c r="F4" t="s">
        <v>56</v>
      </c>
      <c r="G4" t="s">
        <v>68</v>
      </c>
      <c r="H4" t="s">
        <v>69</v>
      </c>
      <c r="I4" t="str">
        <f t="shared" si="1"/>
        <v>laurent.reich@berger-levrault.com</v>
      </c>
      <c r="J4" t="s">
        <v>4</v>
      </c>
      <c r="K4" t="s">
        <v>3</v>
      </c>
      <c r="L4" t="str">
        <f t="shared" si="2"/>
        <v>virginie borque</v>
      </c>
      <c r="M4" t="s">
        <v>70</v>
      </c>
      <c r="N4" t="s">
        <v>67</v>
      </c>
      <c r="O4" t="s">
        <v>71</v>
      </c>
      <c r="P4" t="s">
        <v>68</v>
      </c>
      <c r="Q4" t="s">
        <v>69</v>
      </c>
      <c r="R4" t="str">
        <f t="shared" si="3"/>
        <v>virginie.borque@berger-levrault.com</v>
      </c>
    </row>
    <row r="5" spans="1:18" x14ac:dyDescent="0.25">
      <c r="A5">
        <v>15</v>
      </c>
      <c r="B5" t="s">
        <v>24</v>
      </c>
      <c r="C5" t="str">
        <f t="shared" si="0"/>
        <v>laurent reich</v>
      </c>
      <c r="D5" t="s">
        <v>55</v>
      </c>
      <c r="E5" t="s">
        <v>67</v>
      </c>
      <c r="F5" t="s">
        <v>56</v>
      </c>
      <c r="G5" t="s">
        <v>68</v>
      </c>
      <c r="H5" t="s">
        <v>69</v>
      </c>
      <c r="I5" t="str">
        <f t="shared" si="1"/>
        <v>laurent.reich@berger-levrault.com</v>
      </c>
      <c r="J5" t="s">
        <v>16</v>
      </c>
      <c r="K5" t="s">
        <v>3</v>
      </c>
      <c r="L5" t="str">
        <f t="shared" si="2"/>
        <v>corinne rey</v>
      </c>
      <c r="M5" t="s">
        <v>74</v>
      </c>
      <c r="N5" t="s">
        <v>67</v>
      </c>
      <c r="O5" t="s">
        <v>75</v>
      </c>
      <c r="P5" t="s">
        <v>68</v>
      </c>
      <c r="Q5" t="s">
        <v>69</v>
      </c>
      <c r="R5" t="str">
        <f t="shared" si="3"/>
        <v>corinne.rey@berger-levrault.com</v>
      </c>
    </row>
    <row r="6" spans="1:18" x14ac:dyDescent="0.25">
      <c r="A6">
        <v>16</v>
      </c>
      <c r="B6" t="s">
        <v>27</v>
      </c>
      <c r="C6" t="str">
        <f t="shared" si="0"/>
        <v>magali masse</v>
      </c>
      <c r="D6" t="s">
        <v>57</v>
      </c>
      <c r="E6" t="s">
        <v>67</v>
      </c>
      <c r="F6" t="s">
        <v>58</v>
      </c>
      <c r="G6" t="s">
        <v>68</v>
      </c>
      <c r="H6" t="s">
        <v>69</v>
      </c>
      <c r="I6" t="str">
        <f t="shared" si="1"/>
        <v>magali.masse@berger-levrault.com</v>
      </c>
      <c r="J6" t="s">
        <v>16</v>
      </c>
      <c r="K6" t="s">
        <v>3</v>
      </c>
      <c r="L6" t="str">
        <f t="shared" si="2"/>
        <v>corinne rey</v>
      </c>
      <c r="M6" t="s">
        <v>74</v>
      </c>
      <c r="N6" t="s">
        <v>67</v>
      </c>
      <c r="O6" t="s">
        <v>75</v>
      </c>
      <c r="P6" t="s">
        <v>68</v>
      </c>
      <c r="Q6" t="s">
        <v>69</v>
      </c>
      <c r="R6" t="str">
        <f t="shared" si="3"/>
        <v>corinne.rey@berger-levrault.com</v>
      </c>
    </row>
    <row r="7" spans="1:18" x14ac:dyDescent="0.25">
      <c r="A7">
        <v>20</v>
      </c>
      <c r="B7" t="s">
        <v>25</v>
      </c>
      <c r="C7" t="str">
        <f t="shared" si="0"/>
        <v>kim boyer</v>
      </c>
      <c r="D7" t="s">
        <v>53</v>
      </c>
      <c r="E7" t="s">
        <v>67</v>
      </c>
      <c r="F7" t="s">
        <v>54</v>
      </c>
      <c r="G7" t="s">
        <v>68</v>
      </c>
      <c r="H7" t="s">
        <v>69</v>
      </c>
      <c r="I7" t="str">
        <f t="shared" si="1"/>
        <v>kim.boyer@berger-levrault.com</v>
      </c>
      <c r="J7" t="s">
        <v>11</v>
      </c>
      <c r="K7" t="s">
        <v>3</v>
      </c>
      <c r="L7" t="str">
        <f t="shared" si="2"/>
        <v>angelique esteve</v>
      </c>
      <c r="M7" t="s">
        <v>72</v>
      </c>
      <c r="N7" t="s">
        <v>67</v>
      </c>
      <c r="O7" t="s">
        <v>73</v>
      </c>
      <c r="P7" t="s">
        <v>68</v>
      </c>
      <c r="Q7" t="s">
        <v>69</v>
      </c>
      <c r="R7" t="str">
        <f t="shared" si="3"/>
        <v>angelique.esteve@berger-levrault.com</v>
      </c>
    </row>
    <row r="8" spans="1:18" x14ac:dyDescent="0.25">
      <c r="A8">
        <v>22</v>
      </c>
      <c r="B8" t="s">
        <v>28</v>
      </c>
      <c r="C8" t="str">
        <f t="shared" si="0"/>
        <v>franck pinchon</v>
      </c>
      <c r="D8" t="s">
        <v>59</v>
      </c>
      <c r="E8" t="s">
        <v>67</v>
      </c>
      <c r="F8" t="s">
        <v>60</v>
      </c>
      <c r="G8" t="s">
        <v>68</v>
      </c>
      <c r="H8" t="s">
        <v>69</v>
      </c>
      <c r="I8" t="str">
        <f t="shared" si="1"/>
        <v>franck.pinchon@berger-levrault.com</v>
      </c>
      <c r="J8" t="s">
        <v>16</v>
      </c>
      <c r="K8" t="s">
        <v>3</v>
      </c>
      <c r="L8" t="str">
        <f t="shared" si="2"/>
        <v>corinne rey</v>
      </c>
      <c r="M8" t="s">
        <v>74</v>
      </c>
      <c r="N8" t="s">
        <v>67</v>
      </c>
      <c r="O8" t="s">
        <v>75</v>
      </c>
      <c r="P8" t="s">
        <v>68</v>
      </c>
      <c r="Q8" t="s">
        <v>69</v>
      </c>
      <c r="R8" t="str">
        <f t="shared" si="3"/>
        <v>corinne.rey@berger-levrault.com</v>
      </c>
    </row>
    <row r="9" spans="1:18" x14ac:dyDescent="0.25">
      <c r="A9">
        <v>24</v>
      </c>
      <c r="B9" t="s">
        <v>27</v>
      </c>
      <c r="C9" t="str">
        <f t="shared" si="0"/>
        <v>magali masse</v>
      </c>
      <c r="D9" t="s">
        <v>57</v>
      </c>
      <c r="E9" t="s">
        <v>67</v>
      </c>
      <c r="F9" t="s">
        <v>58</v>
      </c>
      <c r="G9" t="s">
        <v>68</v>
      </c>
      <c r="H9" t="s">
        <v>69</v>
      </c>
      <c r="I9" t="str">
        <f t="shared" si="1"/>
        <v>magali.masse@berger-levrault.com</v>
      </c>
      <c r="J9" t="s">
        <v>11</v>
      </c>
      <c r="K9" t="s">
        <v>3</v>
      </c>
      <c r="L9" t="str">
        <f t="shared" si="2"/>
        <v>angelique esteve</v>
      </c>
      <c r="M9" t="s">
        <v>72</v>
      </c>
      <c r="N9" t="s">
        <v>67</v>
      </c>
      <c r="O9" t="s">
        <v>73</v>
      </c>
      <c r="P9" t="s">
        <v>68</v>
      </c>
      <c r="Q9" t="s">
        <v>69</v>
      </c>
      <c r="R9" t="str">
        <f t="shared" si="3"/>
        <v>angelique.esteve@berger-levrault.com</v>
      </c>
    </row>
    <row r="10" spans="1:18" x14ac:dyDescent="0.25">
      <c r="A10">
        <v>25</v>
      </c>
      <c r="B10" t="s">
        <v>22</v>
      </c>
      <c r="C10" t="str">
        <f t="shared" si="0"/>
        <v>pascal lefrere</v>
      </c>
      <c r="D10" t="s">
        <v>51</v>
      </c>
      <c r="E10" t="s">
        <v>67</v>
      </c>
      <c r="F10" t="s">
        <v>52</v>
      </c>
      <c r="G10" t="s">
        <v>68</v>
      </c>
      <c r="H10" t="s">
        <v>69</v>
      </c>
      <c r="I10" t="str">
        <f t="shared" si="1"/>
        <v>pascal.lefrere@berger-levrault.com</v>
      </c>
      <c r="J10" t="s">
        <v>16</v>
      </c>
      <c r="K10" t="s">
        <v>3</v>
      </c>
      <c r="L10" t="str">
        <f t="shared" si="2"/>
        <v>corinne rey</v>
      </c>
      <c r="M10" t="s">
        <v>74</v>
      </c>
      <c r="N10" t="s">
        <v>67</v>
      </c>
      <c r="O10" t="s">
        <v>75</v>
      </c>
      <c r="P10" t="s">
        <v>68</v>
      </c>
      <c r="Q10" t="s">
        <v>69</v>
      </c>
      <c r="R10" t="str">
        <f t="shared" si="3"/>
        <v>corinne.rey@berger-levrault.com</v>
      </c>
    </row>
    <row r="11" spans="1:18" x14ac:dyDescent="0.25">
      <c r="A11">
        <v>31</v>
      </c>
      <c r="B11" t="s">
        <v>27</v>
      </c>
      <c r="C11" t="str">
        <f t="shared" si="0"/>
        <v>magali masse</v>
      </c>
      <c r="D11" t="s">
        <v>57</v>
      </c>
      <c r="E11" t="s">
        <v>67</v>
      </c>
      <c r="F11" t="s">
        <v>58</v>
      </c>
      <c r="G11" t="s">
        <v>68</v>
      </c>
      <c r="H11" t="s">
        <v>69</v>
      </c>
      <c r="I11" t="str">
        <f t="shared" si="1"/>
        <v>magali.masse@berger-levrault.com</v>
      </c>
      <c r="J11" t="s">
        <v>18</v>
      </c>
      <c r="K11" t="s">
        <v>3</v>
      </c>
      <c r="L11" t="str">
        <f t="shared" si="2"/>
        <v>lucas wautelet</v>
      </c>
      <c r="M11" t="s">
        <v>76</v>
      </c>
      <c r="N11" t="s">
        <v>67</v>
      </c>
      <c r="O11" t="s">
        <v>77</v>
      </c>
      <c r="P11" t="s">
        <v>68</v>
      </c>
      <c r="Q11" t="s">
        <v>69</v>
      </c>
      <c r="R11" t="str">
        <f t="shared" si="3"/>
        <v>lucas.wautelet@berger-levrault.com</v>
      </c>
    </row>
    <row r="12" spans="1:18" x14ac:dyDescent="0.25">
      <c r="A12">
        <v>38</v>
      </c>
      <c r="B12" t="s">
        <v>25</v>
      </c>
      <c r="C12" t="str">
        <f t="shared" si="0"/>
        <v>kim boyer</v>
      </c>
      <c r="D12" t="s">
        <v>53</v>
      </c>
      <c r="E12" t="s">
        <v>67</v>
      </c>
      <c r="F12" t="s">
        <v>54</v>
      </c>
      <c r="G12" t="s">
        <v>68</v>
      </c>
      <c r="H12" t="s">
        <v>69</v>
      </c>
      <c r="I12" t="str">
        <f t="shared" si="1"/>
        <v>kim.boyer@berger-levrault.com</v>
      </c>
      <c r="J12" t="s">
        <v>4</v>
      </c>
      <c r="K12" t="s">
        <v>3</v>
      </c>
      <c r="L12" t="str">
        <f t="shared" si="2"/>
        <v>virginie borque</v>
      </c>
      <c r="M12" t="s">
        <v>70</v>
      </c>
      <c r="N12" t="s">
        <v>67</v>
      </c>
      <c r="O12" t="s">
        <v>71</v>
      </c>
      <c r="P12" t="s">
        <v>68</v>
      </c>
      <c r="Q12" t="s">
        <v>69</v>
      </c>
      <c r="R12" t="str">
        <f t="shared" si="3"/>
        <v>virginie.borque@berger-levrault.com</v>
      </c>
    </row>
    <row r="13" spans="1:18" x14ac:dyDescent="0.25">
      <c r="A13">
        <v>39</v>
      </c>
      <c r="B13" t="s">
        <v>22</v>
      </c>
      <c r="C13" t="str">
        <f t="shared" si="0"/>
        <v>pascal lefrere</v>
      </c>
      <c r="D13" t="s">
        <v>51</v>
      </c>
      <c r="E13" t="s">
        <v>67</v>
      </c>
      <c r="F13" t="s">
        <v>52</v>
      </c>
      <c r="G13" t="s">
        <v>68</v>
      </c>
      <c r="H13" t="s">
        <v>69</v>
      </c>
      <c r="I13" t="str">
        <f t="shared" si="1"/>
        <v>pascal.lefrere@berger-levrault.com</v>
      </c>
      <c r="J13" t="s">
        <v>16</v>
      </c>
      <c r="K13" t="s">
        <v>3</v>
      </c>
      <c r="L13" t="str">
        <f t="shared" si="2"/>
        <v>corinne rey</v>
      </c>
      <c r="M13" t="s">
        <v>74</v>
      </c>
      <c r="N13" t="s">
        <v>67</v>
      </c>
      <c r="O13" t="s">
        <v>75</v>
      </c>
      <c r="P13" t="s">
        <v>68</v>
      </c>
      <c r="Q13" t="s">
        <v>69</v>
      </c>
      <c r="R13" t="str">
        <f t="shared" si="3"/>
        <v>corinne.rey@berger-levrault.com</v>
      </c>
    </row>
    <row r="14" spans="1:18" x14ac:dyDescent="0.25">
      <c r="A14">
        <v>43</v>
      </c>
      <c r="B14" t="s">
        <v>24</v>
      </c>
      <c r="C14" t="str">
        <f t="shared" si="0"/>
        <v>laurent reich</v>
      </c>
      <c r="D14" t="s">
        <v>55</v>
      </c>
      <c r="E14" t="s">
        <v>67</v>
      </c>
      <c r="F14" t="s">
        <v>56</v>
      </c>
      <c r="G14" t="s">
        <v>68</v>
      </c>
      <c r="H14" t="s">
        <v>69</v>
      </c>
      <c r="I14" t="str">
        <f t="shared" si="1"/>
        <v>laurent.reich@berger-levrault.com</v>
      </c>
      <c r="J14" t="s">
        <v>16</v>
      </c>
      <c r="K14" t="s">
        <v>3</v>
      </c>
      <c r="L14" t="str">
        <f t="shared" si="2"/>
        <v>corinne rey</v>
      </c>
      <c r="M14" t="s">
        <v>74</v>
      </c>
      <c r="N14" t="s">
        <v>67</v>
      </c>
      <c r="O14" t="s">
        <v>75</v>
      </c>
      <c r="P14" t="s">
        <v>68</v>
      </c>
      <c r="Q14" t="s">
        <v>69</v>
      </c>
      <c r="R14" t="str">
        <f t="shared" si="3"/>
        <v>corinne.rey@berger-levrault.com</v>
      </c>
    </row>
    <row r="15" spans="1:18" x14ac:dyDescent="0.25">
      <c r="A15">
        <v>44</v>
      </c>
      <c r="B15" t="s">
        <v>29</v>
      </c>
      <c r="C15" t="str">
        <f t="shared" si="0"/>
        <v>pascal choisier</v>
      </c>
      <c r="D15" t="s">
        <v>51</v>
      </c>
      <c r="E15" t="s">
        <v>67</v>
      </c>
      <c r="F15" t="s">
        <v>61</v>
      </c>
      <c r="G15" t="s">
        <v>68</v>
      </c>
      <c r="H15" t="s">
        <v>69</v>
      </c>
      <c r="I15" t="str">
        <f t="shared" si="1"/>
        <v>pascal.choisier@berger-levrault.com</v>
      </c>
      <c r="J15" t="s">
        <v>19</v>
      </c>
      <c r="K15" t="s">
        <v>3</v>
      </c>
      <c r="L15" t="str">
        <f t="shared" si="2"/>
        <v>alexandra bennani-rungs</v>
      </c>
      <c r="M15" t="s">
        <v>78</v>
      </c>
      <c r="N15" t="s">
        <v>67</v>
      </c>
      <c r="O15" t="s">
        <v>79</v>
      </c>
      <c r="P15" t="s">
        <v>68</v>
      </c>
      <c r="Q15" t="s">
        <v>69</v>
      </c>
      <c r="R15" t="str">
        <f t="shared" si="3"/>
        <v>alexandra.bennani-rungs@berger-levrault.com</v>
      </c>
    </row>
    <row r="16" spans="1:18" x14ac:dyDescent="0.25">
      <c r="A16">
        <v>46</v>
      </c>
      <c r="B16" t="s">
        <v>24</v>
      </c>
      <c r="C16" t="str">
        <f t="shared" si="0"/>
        <v>laurent reich</v>
      </c>
      <c r="D16" t="s">
        <v>55</v>
      </c>
      <c r="E16" t="s">
        <v>67</v>
      </c>
      <c r="F16" t="s">
        <v>56</v>
      </c>
      <c r="G16" t="s">
        <v>68</v>
      </c>
      <c r="H16" t="s">
        <v>69</v>
      </c>
      <c r="I16" t="str">
        <f t="shared" si="1"/>
        <v>laurent.reich@berger-levrault.com</v>
      </c>
      <c r="J16" t="s">
        <v>16</v>
      </c>
      <c r="K16" t="s">
        <v>3</v>
      </c>
      <c r="L16" t="str">
        <f t="shared" si="2"/>
        <v>corinne rey</v>
      </c>
      <c r="M16" t="s">
        <v>74</v>
      </c>
      <c r="N16" t="s">
        <v>67</v>
      </c>
      <c r="O16" t="s">
        <v>75</v>
      </c>
      <c r="P16" t="s">
        <v>68</v>
      </c>
      <c r="Q16" t="s">
        <v>69</v>
      </c>
      <c r="R16" t="str">
        <f t="shared" si="3"/>
        <v>corinne.rey@berger-levrault.com</v>
      </c>
    </row>
    <row r="17" spans="1:18" x14ac:dyDescent="0.25">
      <c r="A17">
        <v>49</v>
      </c>
      <c r="B17" t="s">
        <v>29</v>
      </c>
      <c r="C17" t="str">
        <f t="shared" si="0"/>
        <v>pascal choisier</v>
      </c>
      <c r="D17" t="s">
        <v>51</v>
      </c>
      <c r="E17" t="s">
        <v>67</v>
      </c>
      <c r="F17" t="s">
        <v>61</v>
      </c>
      <c r="G17" t="s">
        <v>68</v>
      </c>
      <c r="H17" t="s">
        <v>69</v>
      </c>
      <c r="I17" t="str">
        <f t="shared" si="1"/>
        <v>pascal.choisier@berger-levrault.com</v>
      </c>
      <c r="J17" t="s">
        <v>19</v>
      </c>
      <c r="K17" t="s">
        <v>3</v>
      </c>
      <c r="L17" t="str">
        <f t="shared" si="2"/>
        <v>alexandra bennani-rungs</v>
      </c>
      <c r="M17" t="s">
        <v>78</v>
      </c>
      <c r="N17" t="s">
        <v>67</v>
      </c>
      <c r="O17" t="s">
        <v>79</v>
      </c>
      <c r="P17" t="s">
        <v>68</v>
      </c>
      <c r="Q17" t="s">
        <v>69</v>
      </c>
      <c r="R17" t="str">
        <f t="shared" si="3"/>
        <v>alexandra.bennani-rungs@berger-levrault.com</v>
      </c>
    </row>
    <row r="18" spans="1:18" x14ac:dyDescent="0.25">
      <c r="A18">
        <v>50</v>
      </c>
      <c r="B18" t="s">
        <v>28</v>
      </c>
      <c r="C18" t="str">
        <f t="shared" si="0"/>
        <v>franck pinchon</v>
      </c>
      <c r="D18" t="s">
        <v>59</v>
      </c>
      <c r="E18" t="s">
        <v>67</v>
      </c>
      <c r="F18" t="s">
        <v>60</v>
      </c>
      <c r="G18" t="s">
        <v>68</v>
      </c>
      <c r="H18" t="s">
        <v>69</v>
      </c>
      <c r="I18" t="str">
        <f t="shared" si="1"/>
        <v>franck.pinchon@berger-levrault.com</v>
      </c>
      <c r="J18" t="s">
        <v>4</v>
      </c>
      <c r="K18" t="s">
        <v>3</v>
      </c>
      <c r="L18" t="str">
        <f t="shared" si="2"/>
        <v>virginie borque</v>
      </c>
      <c r="M18" t="s">
        <v>70</v>
      </c>
      <c r="N18" t="s">
        <v>67</v>
      </c>
      <c r="O18" t="s">
        <v>71</v>
      </c>
      <c r="P18" t="s">
        <v>68</v>
      </c>
      <c r="Q18" t="s">
        <v>69</v>
      </c>
      <c r="R18" t="str">
        <f t="shared" si="3"/>
        <v>virginie.borque@berger-levrault.com</v>
      </c>
    </row>
    <row r="19" spans="1:18" x14ac:dyDescent="0.25">
      <c r="A19">
        <v>53</v>
      </c>
      <c r="B19" t="s">
        <v>28</v>
      </c>
      <c r="C19" t="str">
        <f t="shared" si="0"/>
        <v>franck pinchon</v>
      </c>
      <c r="D19" t="s">
        <v>59</v>
      </c>
      <c r="E19" t="s">
        <v>67</v>
      </c>
      <c r="F19" t="s">
        <v>60</v>
      </c>
      <c r="G19" t="s">
        <v>68</v>
      </c>
      <c r="H19" t="s">
        <v>69</v>
      </c>
      <c r="I19" t="str">
        <f t="shared" si="1"/>
        <v>franck.pinchon@berger-levrault.com</v>
      </c>
      <c r="J19" t="s">
        <v>19</v>
      </c>
      <c r="K19" t="s">
        <v>3</v>
      </c>
      <c r="L19" t="str">
        <f t="shared" si="2"/>
        <v>alexandra bennani-rungs</v>
      </c>
      <c r="M19" t="s">
        <v>78</v>
      </c>
      <c r="N19" t="s">
        <v>67</v>
      </c>
      <c r="O19" t="s">
        <v>79</v>
      </c>
      <c r="P19" t="s">
        <v>68</v>
      </c>
      <c r="Q19" t="s">
        <v>69</v>
      </c>
      <c r="R19" t="str">
        <f t="shared" si="3"/>
        <v>alexandra.bennani-rungs@berger-levrault.com</v>
      </c>
    </row>
    <row r="20" spans="1:18" x14ac:dyDescent="0.25">
      <c r="A20">
        <v>58</v>
      </c>
      <c r="B20" t="s">
        <v>23</v>
      </c>
      <c r="C20" t="str">
        <f t="shared" si="0"/>
        <v>estelle murigneux</v>
      </c>
      <c r="D20" t="s">
        <v>62</v>
      </c>
      <c r="E20" t="s">
        <v>67</v>
      </c>
      <c r="F20" t="s">
        <v>63</v>
      </c>
      <c r="G20" t="s">
        <v>68</v>
      </c>
      <c r="H20" t="s">
        <v>69</v>
      </c>
      <c r="I20" t="str">
        <f t="shared" si="1"/>
        <v>estelle.murigneux@berger-levrault.com</v>
      </c>
      <c r="J20" t="s">
        <v>16</v>
      </c>
      <c r="K20" t="s">
        <v>3</v>
      </c>
      <c r="L20" t="str">
        <f t="shared" si="2"/>
        <v>corinne rey</v>
      </c>
      <c r="M20" t="s">
        <v>74</v>
      </c>
      <c r="N20" t="s">
        <v>67</v>
      </c>
      <c r="O20" t="s">
        <v>75</v>
      </c>
      <c r="P20" t="s">
        <v>68</v>
      </c>
      <c r="Q20" t="s">
        <v>69</v>
      </c>
      <c r="R20" t="str">
        <f t="shared" si="3"/>
        <v>corinne.rey@berger-levrault.com</v>
      </c>
    </row>
    <row r="21" spans="1:18" x14ac:dyDescent="0.25">
      <c r="A21">
        <v>60</v>
      </c>
      <c r="B21" t="s">
        <v>30</v>
      </c>
      <c r="C21" t="str">
        <f t="shared" si="0"/>
        <v>stephane lariviere</v>
      </c>
      <c r="D21" t="s">
        <v>64</v>
      </c>
      <c r="E21" t="s">
        <v>67</v>
      </c>
      <c r="F21" t="s">
        <v>65</v>
      </c>
      <c r="G21" t="s">
        <v>68</v>
      </c>
      <c r="H21" t="s">
        <v>69</v>
      </c>
      <c r="I21" t="str">
        <f t="shared" si="1"/>
        <v>stephane.lariviere@berger-levrault.com</v>
      </c>
      <c r="J21" t="s">
        <v>4</v>
      </c>
      <c r="K21" t="s">
        <v>3</v>
      </c>
      <c r="L21" t="str">
        <f t="shared" si="2"/>
        <v>virginie borque</v>
      </c>
      <c r="M21" t="s">
        <v>70</v>
      </c>
      <c r="N21" t="s">
        <v>67</v>
      </c>
      <c r="O21" t="s">
        <v>71</v>
      </c>
      <c r="P21" t="s">
        <v>68</v>
      </c>
      <c r="Q21" t="s">
        <v>69</v>
      </c>
      <c r="R21" t="str">
        <f t="shared" si="3"/>
        <v>virginie.borque@berger-levrault.com</v>
      </c>
    </row>
    <row r="22" spans="1:18" x14ac:dyDescent="0.25">
      <c r="A22">
        <v>63</v>
      </c>
      <c r="B22" t="s">
        <v>24</v>
      </c>
      <c r="C22" t="str">
        <f t="shared" si="0"/>
        <v>laurent reich</v>
      </c>
      <c r="D22" t="s">
        <v>55</v>
      </c>
      <c r="E22" t="s">
        <v>67</v>
      </c>
      <c r="F22" t="s">
        <v>56</v>
      </c>
      <c r="G22" t="s">
        <v>68</v>
      </c>
      <c r="H22" t="s">
        <v>69</v>
      </c>
      <c r="I22" t="str">
        <f t="shared" si="1"/>
        <v>laurent.reich@berger-levrault.com</v>
      </c>
      <c r="J22" t="s">
        <v>16</v>
      </c>
      <c r="K22" t="s">
        <v>3</v>
      </c>
      <c r="L22" t="str">
        <f t="shared" si="2"/>
        <v>corinne rey</v>
      </c>
      <c r="M22" t="s">
        <v>74</v>
      </c>
      <c r="N22" t="s">
        <v>67</v>
      </c>
      <c r="O22" t="s">
        <v>75</v>
      </c>
      <c r="P22" t="s">
        <v>68</v>
      </c>
      <c r="Q22" t="s">
        <v>69</v>
      </c>
      <c r="R22" t="str">
        <f t="shared" si="3"/>
        <v>corinne.rey@berger-levrault.com</v>
      </c>
    </row>
    <row r="23" spans="1:18" x14ac:dyDescent="0.25">
      <c r="A23">
        <v>70</v>
      </c>
      <c r="B23" t="s">
        <v>26</v>
      </c>
      <c r="C23" t="str">
        <f t="shared" si="0"/>
        <v>laurent fitzentz</v>
      </c>
      <c r="D23" t="s">
        <v>55</v>
      </c>
      <c r="E23" t="s">
        <v>67</v>
      </c>
      <c r="F23" t="s">
        <v>66</v>
      </c>
      <c r="G23" t="s">
        <v>68</v>
      </c>
      <c r="H23" t="s">
        <v>69</v>
      </c>
      <c r="I23" t="str">
        <f t="shared" si="1"/>
        <v>laurent.fitzentz@berger-levrault.com</v>
      </c>
      <c r="J23" t="s">
        <v>16</v>
      </c>
      <c r="K23" t="s">
        <v>3</v>
      </c>
      <c r="L23" t="str">
        <f t="shared" si="2"/>
        <v>corinne rey</v>
      </c>
      <c r="M23" t="s">
        <v>74</v>
      </c>
      <c r="N23" t="s">
        <v>67</v>
      </c>
      <c r="O23" t="s">
        <v>75</v>
      </c>
      <c r="P23" t="s">
        <v>68</v>
      </c>
      <c r="Q23" t="s">
        <v>69</v>
      </c>
      <c r="R23" t="str">
        <f t="shared" si="3"/>
        <v>corinne.rey@berger-levrault.com</v>
      </c>
    </row>
    <row r="24" spans="1:18" x14ac:dyDescent="0.25">
      <c r="A24">
        <v>72</v>
      </c>
      <c r="B24" t="s">
        <v>29</v>
      </c>
      <c r="C24" t="str">
        <f t="shared" si="0"/>
        <v>pascal choisier</v>
      </c>
      <c r="D24" t="s">
        <v>51</v>
      </c>
      <c r="E24" t="s">
        <v>67</v>
      </c>
      <c r="F24" t="s">
        <v>61</v>
      </c>
      <c r="G24" t="s">
        <v>68</v>
      </c>
      <c r="H24" t="s">
        <v>69</v>
      </c>
      <c r="I24" t="str">
        <f t="shared" si="1"/>
        <v>pascal.choisier@berger-levrault.com</v>
      </c>
      <c r="J24" t="s">
        <v>19</v>
      </c>
      <c r="K24" t="s">
        <v>3</v>
      </c>
      <c r="L24" t="str">
        <f t="shared" si="2"/>
        <v>alexandra bennani-rungs</v>
      </c>
      <c r="M24" t="s">
        <v>78</v>
      </c>
      <c r="N24" t="s">
        <v>67</v>
      </c>
      <c r="O24" t="s">
        <v>79</v>
      </c>
      <c r="P24" t="s">
        <v>68</v>
      </c>
      <c r="Q24" t="s">
        <v>69</v>
      </c>
      <c r="R24" t="str">
        <f t="shared" si="3"/>
        <v>alexandra.bennani-rungs@berger-levrault.com</v>
      </c>
    </row>
    <row r="25" spans="1:18" x14ac:dyDescent="0.25">
      <c r="A25">
        <v>73</v>
      </c>
      <c r="B25" t="s">
        <v>25</v>
      </c>
      <c r="C25" t="str">
        <f t="shared" si="0"/>
        <v>kim boyer</v>
      </c>
      <c r="D25" t="s">
        <v>53</v>
      </c>
      <c r="E25" t="s">
        <v>67</v>
      </c>
      <c r="F25" t="s">
        <v>54</v>
      </c>
      <c r="G25" t="s">
        <v>68</v>
      </c>
      <c r="H25" t="s">
        <v>69</v>
      </c>
      <c r="I25" t="str">
        <f t="shared" si="1"/>
        <v>kim.boyer@berger-levrault.com</v>
      </c>
      <c r="J25" t="s">
        <v>4</v>
      </c>
      <c r="K25" t="s">
        <v>3</v>
      </c>
      <c r="L25" t="str">
        <f t="shared" si="2"/>
        <v>virginie borque</v>
      </c>
      <c r="M25" t="s">
        <v>70</v>
      </c>
      <c r="N25" t="s">
        <v>67</v>
      </c>
      <c r="O25" t="s">
        <v>71</v>
      </c>
      <c r="P25" t="s">
        <v>68</v>
      </c>
      <c r="Q25" t="s">
        <v>69</v>
      </c>
      <c r="R25" t="str">
        <f t="shared" si="3"/>
        <v>virginie.borque@berger-levrault.com</v>
      </c>
    </row>
    <row r="26" spans="1:18" x14ac:dyDescent="0.25">
      <c r="A26">
        <v>74</v>
      </c>
      <c r="B26" t="s">
        <v>25</v>
      </c>
      <c r="C26" t="str">
        <f t="shared" si="0"/>
        <v>kim boyer</v>
      </c>
      <c r="D26" t="s">
        <v>53</v>
      </c>
      <c r="E26" t="s">
        <v>67</v>
      </c>
      <c r="F26" t="s">
        <v>54</v>
      </c>
      <c r="G26" t="s">
        <v>68</v>
      </c>
      <c r="H26" t="s">
        <v>69</v>
      </c>
      <c r="I26" t="str">
        <f t="shared" si="1"/>
        <v>kim.boyer@berger-levrault.com</v>
      </c>
      <c r="J26" t="s">
        <v>11</v>
      </c>
      <c r="K26" t="s">
        <v>3</v>
      </c>
      <c r="L26" t="str">
        <f t="shared" si="2"/>
        <v>angelique esteve</v>
      </c>
      <c r="M26" t="s">
        <v>72</v>
      </c>
      <c r="N26" t="s">
        <v>67</v>
      </c>
      <c r="O26" t="s">
        <v>73</v>
      </c>
      <c r="P26" t="s">
        <v>68</v>
      </c>
      <c r="Q26" t="s">
        <v>69</v>
      </c>
      <c r="R26" t="str">
        <f t="shared" si="3"/>
        <v>angelique.esteve@berger-levrault.com</v>
      </c>
    </row>
    <row r="27" spans="1:18" x14ac:dyDescent="0.25">
      <c r="A27">
        <v>81</v>
      </c>
      <c r="B27" t="s">
        <v>24</v>
      </c>
      <c r="C27" t="str">
        <f t="shared" si="0"/>
        <v>laurent reich</v>
      </c>
      <c r="D27" t="s">
        <v>55</v>
      </c>
      <c r="E27" t="s">
        <v>67</v>
      </c>
      <c r="F27" t="s">
        <v>56</v>
      </c>
      <c r="G27" t="s">
        <v>68</v>
      </c>
      <c r="H27" t="s">
        <v>69</v>
      </c>
      <c r="I27" t="str">
        <f t="shared" si="1"/>
        <v>laurent.reich@berger-levrault.com</v>
      </c>
      <c r="J27" t="s">
        <v>16</v>
      </c>
      <c r="K27" t="s">
        <v>3</v>
      </c>
      <c r="L27" t="str">
        <f t="shared" si="2"/>
        <v>corinne rey</v>
      </c>
      <c r="M27" t="s">
        <v>74</v>
      </c>
      <c r="N27" t="s">
        <v>67</v>
      </c>
      <c r="O27" t="s">
        <v>75</v>
      </c>
      <c r="P27" t="s">
        <v>68</v>
      </c>
      <c r="Q27" t="s">
        <v>69</v>
      </c>
      <c r="R27" t="str">
        <f t="shared" si="3"/>
        <v>corinne.rey@berger-levrault.com</v>
      </c>
    </row>
    <row r="28" spans="1:18" x14ac:dyDescent="0.25">
      <c r="A28">
        <v>82</v>
      </c>
      <c r="B28" t="s">
        <v>24</v>
      </c>
      <c r="C28" t="str">
        <f t="shared" si="0"/>
        <v>laurent reich</v>
      </c>
      <c r="D28" t="s">
        <v>55</v>
      </c>
      <c r="E28" t="s">
        <v>67</v>
      </c>
      <c r="F28" t="s">
        <v>56</v>
      </c>
      <c r="G28" t="s">
        <v>68</v>
      </c>
      <c r="H28" t="s">
        <v>69</v>
      </c>
      <c r="I28" t="str">
        <f t="shared" si="1"/>
        <v>laurent.reich@berger-levrault.com</v>
      </c>
      <c r="J28" t="s">
        <v>4</v>
      </c>
      <c r="K28" t="s">
        <v>3</v>
      </c>
      <c r="L28" t="str">
        <f t="shared" si="2"/>
        <v>virginie borque</v>
      </c>
      <c r="M28" t="s">
        <v>70</v>
      </c>
      <c r="N28" t="s">
        <v>67</v>
      </c>
      <c r="O28" t="s">
        <v>71</v>
      </c>
      <c r="P28" t="s">
        <v>68</v>
      </c>
      <c r="Q28" t="s">
        <v>69</v>
      </c>
      <c r="R28" t="str">
        <f t="shared" si="3"/>
        <v>virginie.borque@berger-levrault.com</v>
      </c>
    </row>
    <row r="29" spans="1:18" x14ac:dyDescent="0.25">
      <c r="A29">
        <v>83</v>
      </c>
      <c r="B29" t="s">
        <v>25</v>
      </c>
      <c r="C29" t="str">
        <f t="shared" si="0"/>
        <v>kim boyer</v>
      </c>
      <c r="D29" t="s">
        <v>53</v>
      </c>
      <c r="E29" t="s">
        <v>67</v>
      </c>
      <c r="F29" t="s">
        <v>54</v>
      </c>
      <c r="G29" t="s">
        <v>68</v>
      </c>
      <c r="H29" t="s">
        <v>69</v>
      </c>
      <c r="I29" t="str">
        <f t="shared" si="1"/>
        <v>kim.boyer@berger-levrault.com</v>
      </c>
      <c r="J29" t="s">
        <v>11</v>
      </c>
      <c r="K29" t="s">
        <v>3</v>
      </c>
      <c r="L29" t="str">
        <f t="shared" si="2"/>
        <v>angelique esteve</v>
      </c>
      <c r="M29" t="s">
        <v>72</v>
      </c>
      <c r="N29" t="s">
        <v>67</v>
      </c>
      <c r="O29" t="s">
        <v>73</v>
      </c>
      <c r="P29" t="s">
        <v>68</v>
      </c>
      <c r="Q29" t="s">
        <v>69</v>
      </c>
      <c r="R29" t="str">
        <f t="shared" si="3"/>
        <v>angelique.esteve@berger-levrault.com</v>
      </c>
    </row>
    <row r="30" spans="1:18" x14ac:dyDescent="0.25">
      <c r="A30">
        <v>85</v>
      </c>
      <c r="B30" t="s">
        <v>29</v>
      </c>
      <c r="C30" t="str">
        <f t="shared" si="0"/>
        <v>pascal choisier</v>
      </c>
      <c r="D30" t="s">
        <v>51</v>
      </c>
      <c r="E30" t="s">
        <v>67</v>
      </c>
      <c r="F30" t="s">
        <v>61</v>
      </c>
      <c r="G30" t="s">
        <v>68</v>
      </c>
      <c r="H30" t="s">
        <v>69</v>
      </c>
      <c r="I30" t="str">
        <f t="shared" si="1"/>
        <v>pascal.choisier@berger-levrault.com</v>
      </c>
      <c r="J30" t="s">
        <v>19</v>
      </c>
      <c r="K30" t="s">
        <v>3</v>
      </c>
      <c r="L30" t="str">
        <f t="shared" si="2"/>
        <v>alexandra bennani-rungs</v>
      </c>
      <c r="M30" t="s">
        <v>78</v>
      </c>
      <c r="N30" t="s">
        <v>67</v>
      </c>
      <c r="O30" t="s">
        <v>79</v>
      </c>
      <c r="P30" t="s">
        <v>68</v>
      </c>
      <c r="Q30" t="s">
        <v>69</v>
      </c>
      <c r="R30" t="str">
        <f t="shared" si="3"/>
        <v>alexandra.bennani-rungs@berger-levrault.com</v>
      </c>
    </row>
    <row r="31" spans="1:18" x14ac:dyDescent="0.25">
      <c r="A31">
        <v>90</v>
      </c>
      <c r="B31" t="s">
        <v>26</v>
      </c>
      <c r="C31" t="str">
        <f t="shared" si="0"/>
        <v>laurent fitzentz</v>
      </c>
      <c r="D31" t="s">
        <v>55</v>
      </c>
      <c r="E31" t="s">
        <v>67</v>
      </c>
      <c r="F31" t="s">
        <v>66</v>
      </c>
      <c r="G31" t="s">
        <v>68</v>
      </c>
      <c r="H31" t="s">
        <v>69</v>
      </c>
      <c r="I31" t="str">
        <f t="shared" si="1"/>
        <v>laurent.fitzentz@berger-levrault.com</v>
      </c>
      <c r="J31" t="s">
        <v>16</v>
      </c>
      <c r="K31" t="s">
        <v>3</v>
      </c>
      <c r="L31" t="str">
        <f t="shared" si="2"/>
        <v>corinne rey</v>
      </c>
      <c r="M31" t="s">
        <v>74</v>
      </c>
      <c r="N31" t="s">
        <v>67</v>
      </c>
      <c r="O31" t="s">
        <v>75</v>
      </c>
      <c r="P31" t="s">
        <v>68</v>
      </c>
      <c r="Q31" t="s">
        <v>69</v>
      </c>
      <c r="R31" t="str">
        <f t="shared" si="3"/>
        <v>corinne.rey@berger-levrault.com</v>
      </c>
    </row>
    <row r="32" spans="1:18" x14ac:dyDescent="0.25">
      <c r="A32" t="s">
        <v>1</v>
      </c>
      <c r="B32" t="s">
        <v>25</v>
      </c>
      <c r="C32" t="str">
        <f t="shared" si="0"/>
        <v>kim boyer</v>
      </c>
      <c r="D32" t="s">
        <v>53</v>
      </c>
      <c r="E32" t="s">
        <v>67</v>
      </c>
      <c r="F32" t="s">
        <v>54</v>
      </c>
      <c r="G32" t="s">
        <v>68</v>
      </c>
      <c r="H32" t="s">
        <v>69</v>
      </c>
      <c r="I32" t="str">
        <f t="shared" si="1"/>
        <v>kim.boyer@berger-levrault.com</v>
      </c>
      <c r="J32" t="s">
        <v>11</v>
      </c>
      <c r="K32" t="s">
        <v>3</v>
      </c>
      <c r="L32" t="str">
        <f t="shared" si="2"/>
        <v>angelique esteve</v>
      </c>
      <c r="M32" t="s">
        <v>72</v>
      </c>
      <c r="N32" t="s">
        <v>67</v>
      </c>
      <c r="O32" t="s">
        <v>73</v>
      </c>
      <c r="P32" t="s">
        <v>68</v>
      </c>
      <c r="Q32" t="s">
        <v>69</v>
      </c>
      <c r="R32" t="str">
        <f t="shared" si="3"/>
        <v>angelique.esteve@berger-levrault.com</v>
      </c>
    </row>
    <row r="33" spans="1:18" x14ac:dyDescent="0.25">
      <c r="A33" t="s">
        <v>2</v>
      </c>
      <c r="B33" t="s">
        <v>25</v>
      </c>
      <c r="C33" t="str">
        <f t="shared" si="0"/>
        <v>kim boyer</v>
      </c>
      <c r="D33" t="s">
        <v>53</v>
      </c>
      <c r="E33" t="s">
        <v>67</v>
      </c>
      <c r="F33" t="s">
        <v>54</v>
      </c>
      <c r="G33" t="s">
        <v>68</v>
      </c>
      <c r="H33" t="s">
        <v>69</v>
      </c>
      <c r="I33" t="str">
        <f t="shared" si="1"/>
        <v>kim.boyer@berger-levrault.com</v>
      </c>
      <c r="J33" t="s">
        <v>11</v>
      </c>
      <c r="K33" t="s">
        <v>3</v>
      </c>
      <c r="L33" t="str">
        <f t="shared" si="2"/>
        <v>angelique esteve</v>
      </c>
      <c r="M33" t="s">
        <v>72</v>
      </c>
      <c r="N33" t="s">
        <v>67</v>
      </c>
      <c r="O33" t="s">
        <v>73</v>
      </c>
      <c r="P33" t="s">
        <v>68</v>
      </c>
      <c r="Q33" t="s">
        <v>69</v>
      </c>
      <c r="R33" t="str">
        <f t="shared" si="3"/>
        <v>angelique.esteve@berger-levrault.com</v>
      </c>
    </row>
    <row r="34" spans="1:18" x14ac:dyDescent="0.25">
      <c r="A34">
        <v>2</v>
      </c>
      <c r="B34" t="s">
        <v>23</v>
      </c>
      <c r="C34" t="str">
        <f t="shared" si="0"/>
        <v>estelle murigneux</v>
      </c>
      <c r="D34" t="s">
        <v>62</v>
      </c>
      <c r="E34" t="s">
        <v>67</v>
      </c>
      <c r="F34" t="s">
        <v>63</v>
      </c>
      <c r="G34" t="s">
        <v>68</v>
      </c>
      <c r="H34" t="s">
        <v>69</v>
      </c>
      <c r="I34" t="str">
        <f t="shared" si="1"/>
        <v>estelle.murigneux@berger-levrault.com</v>
      </c>
      <c r="J34" t="s">
        <v>6</v>
      </c>
      <c r="K34" t="s">
        <v>50</v>
      </c>
      <c r="L34" t="str">
        <f t="shared" si="2"/>
        <v>alyssia hyvart</v>
      </c>
      <c r="M34" t="s">
        <v>80</v>
      </c>
      <c r="N34" t="s">
        <v>67</v>
      </c>
      <c r="O34" t="s">
        <v>81</v>
      </c>
      <c r="P34" t="s">
        <v>68</v>
      </c>
      <c r="Q34" t="s">
        <v>69</v>
      </c>
      <c r="R34" t="str">
        <f t="shared" si="3"/>
        <v>alyssia.hyvart@berger-levrault.com</v>
      </c>
    </row>
    <row r="35" spans="1:18" x14ac:dyDescent="0.25">
      <c r="A35">
        <v>3</v>
      </c>
      <c r="B35" t="s">
        <v>24</v>
      </c>
      <c r="C35" t="str">
        <f t="shared" si="0"/>
        <v>laurent reich</v>
      </c>
      <c r="D35" t="s">
        <v>55</v>
      </c>
      <c r="E35" t="s">
        <v>67</v>
      </c>
      <c r="F35" t="s">
        <v>56</v>
      </c>
      <c r="G35" t="s">
        <v>68</v>
      </c>
      <c r="H35" t="s">
        <v>69</v>
      </c>
      <c r="I35" t="str">
        <f t="shared" si="1"/>
        <v>laurent.reich@berger-levrault.com</v>
      </c>
      <c r="J35" t="s">
        <v>8</v>
      </c>
      <c r="K35" t="s">
        <v>50</v>
      </c>
      <c r="L35" t="str">
        <f t="shared" si="2"/>
        <v>jean-yves buzare</v>
      </c>
      <c r="M35" t="s">
        <v>82</v>
      </c>
      <c r="N35" t="s">
        <v>67</v>
      </c>
      <c r="O35" t="s">
        <v>83</v>
      </c>
      <c r="P35" t="s">
        <v>68</v>
      </c>
      <c r="Q35" t="s">
        <v>69</v>
      </c>
      <c r="R35" t="str">
        <f t="shared" si="3"/>
        <v>jean-yves.buzare@berger-levrault.com</v>
      </c>
    </row>
    <row r="36" spans="1:18" x14ac:dyDescent="0.25">
      <c r="A36">
        <v>4</v>
      </c>
      <c r="B36" t="s">
        <v>25</v>
      </c>
      <c r="C36" t="str">
        <f t="shared" si="0"/>
        <v>kim boyer</v>
      </c>
      <c r="D36" t="s">
        <v>53</v>
      </c>
      <c r="E36" t="s">
        <v>67</v>
      </c>
      <c r="F36" t="s">
        <v>54</v>
      </c>
      <c r="G36" t="s">
        <v>68</v>
      </c>
      <c r="H36" t="s">
        <v>69</v>
      </c>
      <c r="I36" t="str">
        <f t="shared" si="1"/>
        <v>kim.boyer@berger-levrault.com</v>
      </c>
      <c r="J36" t="s">
        <v>10</v>
      </c>
      <c r="K36" t="s">
        <v>50</v>
      </c>
      <c r="L36" t="str">
        <f t="shared" si="2"/>
        <v>adeline benet</v>
      </c>
      <c r="M36" t="s">
        <v>84</v>
      </c>
      <c r="N36" t="s">
        <v>67</v>
      </c>
      <c r="O36" t="s">
        <v>85</v>
      </c>
      <c r="P36" t="s">
        <v>68</v>
      </c>
      <c r="Q36" t="s">
        <v>69</v>
      </c>
      <c r="R36" t="str">
        <f t="shared" si="3"/>
        <v>adeline.benet@berger-levrault.com</v>
      </c>
    </row>
    <row r="37" spans="1:18" x14ac:dyDescent="0.25">
      <c r="A37">
        <v>5</v>
      </c>
      <c r="B37" t="s">
        <v>25</v>
      </c>
      <c r="C37" t="str">
        <f t="shared" si="0"/>
        <v>kim boyer</v>
      </c>
      <c r="D37" t="s">
        <v>53</v>
      </c>
      <c r="E37" t="s">
        <v>67</v>
      </c>
      <c r="F37" t="s">
        <v>54</v>
      </c>
      <c r="G37" t="s">
        <v>68</v>
      </c>
      <c r="H37" t="s">
        <v>69</v>
      </c>
      <c r="I37" t="str">
        <f t="shared" si="1"/>
        <v>kim.boyer@berger-levrault.com</v>
      </c>
      <c r="J37" t="s">
        <v>10</v>
      </c>
      <c r="K37" t="s">
        <v>50</v>
      </c>
      <c r="L37" t="str">
        <f t="shared" si="2"/>
        <v>adeline benet</v>
      </c>
      <c r="M37" t="s">
        <v>84</v>
      </c>
      <c r="N37" t="s">
        <v>67</v>
      </c>
      <c r="O37" t="s">
        <v>85</v>
      </c>
      <c r="P37" t="s">
        <v>68</v>
      </c>
      <c r="Q37" t="s">
        <v>69</v>
      </c>
      <c r="R37" t="str">
        <f t="shared" si="3"/>
        <v>adeline.benet@berger-levrault.com</v>
      </c>
    </row>
    <row r="38" spans="1:18" x14ac:dyDescent="0.25">
      <c r="A38">
        <v>7</v>
      </c>
      <c r="B38" t="s">
        <v>25</v>
      </c>
      <c r="C38" t="str">
        <f t="shared" si="0"/>
        <v>kim boyer</v>
      </c>
      <c r="D38" t="s">
        <v>53</v>
      </c>
      <c r="E38" t="s">
        <v>67</v>
      </c>
      <c r="F38" t="s">
        <v>54</v>
      </c>
      <c r="G38" t="s">
        <v>68</v>
      </c>
      <c r="H38" t="s">
        <v>69</v>
      </c>
      <c r="I38" t="str">
        <f t="shared" si="1"/>
        <v>kim.boyer@berger-levrault.com</v>
      </c>
      <c r="J38" t="s">
        <v>8</v>
      </c>
      <c r="K38" t="s">
        <v>50</v>
      </c>
      <c r="L38" t="str">
        <f t="shared" si="2"/>
        <v>jean-yves buzare</v>
      </c>
      <c r="M38" t="s">
        <v>82</v>
      </c>
      <c r="N38" t="s">
        <v>67</v>
      </c>
      <c r="O38" t="s">
        <v>83</v>
      </c>
      <c r="P38" t="s">
        <v>68</v>
      </c>
      <c r="Q38" t="s">
        <v>69</v>
      </c>
      <c r="R38" t="str">
        <f t="shared" si="3"/>
        <v>jean-yves.buzare@berger-levrault.com</v>
      </c>
    </row>
    <row r="39" spans="1:18" x14ac:dyDescent="0.25">
      <c r="A39">
        <v>8</v>
      </c>
      <c r="B39" t="s">
        <v>26</v>
      </c>
      <c r="C39" t="str">
        <f t="shared" si="0"/>
        <v>laurent fitzentz</v>
      </c>
      <c r="D39" t="s">
        <v>55</v>
      </c>
      <c r="E39" t="s">
        <v>67</v>
      </c>
      <c r="F39" t="s">
        <v>66</v>
      </c>
      <c r="G39" t="s">
        <v>68</v>
      </c>
      <c r="H39" t="s">
        <v>69</v>
      </c>
      <c r="I39" t="str">
        <f t="shared" si="1"/>
        <v>laurent.fitzentz@berger-levrault.com</v>
      </c>
      <c r="J39" t="s">
        <v>12</v>
      </c>
      <c r="K39" t="s">
        <v>50</v>
      </c>
      <c r="L39" t="str">
        <f t="shared" si="2"/>
        <v>melanie ribuot</v>
      </c>
      <c r="M39" t="s">
        <v>86</v>
      </c>
      <c r="N39" t="s">
        <v>67</v>
      </c>
      <c r="O39" t="s">
        <v>87</v>
      </c>
      <c r="P39" t="s">
        <v>68</v>
      </c>
      <c r="Q39" t="s">
        <v>69</v>
      </c>
      <c r="R39" t="str">
        <f t="shared" si="3"/>
        <v>melanie.ribuot@berger-levrault.com</v>
      </c>
    </row>
    <row r="40" spans="1:18" x14ac:dyDescent="0.25">
      <c r="A40">
        <v>9</v>
      </c>
      <c r="B40" t="s">
        <v>27</v>
      </c>
      <c r="C40" t="str">
        <f t="shared" si="0"/>
        <v>magali masse</v>
      </c>
      <c r="D40" t="s">
        <v>57</v>
      </c>
      <c r="E40" t="s">
        <v>67</v>
      </c>
      <c r="F40" t="s">
        <v>58</v>
      </c>
      <c r="G40" t="s">
        <v>68</v>
      </c>
      <c r="H40" t="s">
        <v>69</v>
      </c>
      <c r="I40" t="str">
        <f t="shared" si="1"/>
        <v>magali.masse@berger-levrault.com</v>
      </c>
      <c r="J40" t="s">
        <v>13</v>
      </c>
      <c r="K40" t="s">
        <v>50</v>
      </c>
      <c r="L40" t="str">
        <f t="shared" si="2"/>
        <v>sylvie camboulives</v>
      </c>
      <c r="M40" t="s">
        <v>88</v>
      </c>
      <c r="N40" t="s">
        <v>67</v>
      </c>
      <c r="O40" t="s">
        <v>89</v>
      </c>
      <c r="P40" t="s">
        <v>68</v>
      </c>
      <c r="Q40" t="s">
        <v>69</v>
      </c>
      <c r="R40" t="str">
        <f t="shared" si="3"/>
        <v>sylvie.camboulives@berger-levrault.com</v>
      </c>
    </row>
    <row r="41" spans="1:18" x14ac:dyDescent="0.25">
      <c r="A41">
        <v>10</v>
      </c>
      <c r="B41" t="s">
        <v>23</v>
      </c>
      <c r="C41" t="str">
        <f t="shared" si="0"/>
        <v>estelle murigneux</v>
      </c>
      <c r="D41" t="s">
        <v>62</v>
      </c>
      <c r="E41" t="s">
        <v>67</v>
      </c>
      <c r="F41" t="s">
        <v>63</v>
      </c>
      <c r="G41" t="s">
        <v>68</v>
      </c>
      <c r="H41" t="s">
        <v>69</v>
      </c>
      <c r="I41" t="str">
        <f t="shared" si="1"/>
        <v>estelle.murigneux@berger-levrault.com</v>
      </c>
      <c r="J41" t="s">
        <v>12</v>
      </c>
      <c r="K41" t="s">
        <v>50</v>
      </c>
      <c r="L41" t="str">
        <f t="shared" si="2"/>
        <v>melanie ribuot</v>
      </c>
      <c r="M41" t="s">
        <v>86</v>
      </c>
      <c r="N41" t="s">
        <v>67</v>
      </c>
      <c r="O41" t="s">
        <v>87</v>
      </c>
      <c r="P41" t="s">
        <v>68</v>
      </c>
      <c r="Q41" t="s">
        <v>69</v>
      </c>
      <c r="R41" t="str">
        <f t="shared" si="3"/>
        <v>melanie.ribuot@berger-levrault.com</v>
      </c>
    </row>
    <row r="42" spans="1:18" x14ac:dyDescent="0.25">
      <c r="A42">
        <v>11</v>
      </c>
      <c r="B42" t="s">
        <v>24</v>
      </c>
      <c r="C42" t="str">
        <f t="shared" si="0"/>
        <v>laurent reich</v>
      </c>
      <c r="D42" t="s">
        <v>55</v>
      </c>
      <c r="E42" t="s">
        <v>67</v>
      </c>
      <c r="F42" t="s">
        <v>56</v>
      </c>
      <c r="G42" t="s">
        <v>68</v>
      </c>
      <c r="H42" t="s">
        <v>69</v>
      </c>
      <c r="I42" t="str">
        <f t="shared" si="1"/>
        <v>laurent.reich@berger-levrault.com</v>
      </c>
      <c r="J42" t="s">
        <v>10</v>
      </c>
      <c r="K42" t="s">
        <v>50</v>
      </c>
      <c r="L42" t="str">
        <f t="shared" si="2"/>
        <v>adeline benet</v>
      </c>
      <c r="M42" t="s">
        <v>84</v>
      </c>
      <c r="N42" t="s">
        <v>67</v>
      </c>
      <c r="O42" t="s">
        <v>85</v>
      </c>
      <c r="P42" t="s">
        <v>68</v>
      </c>
      <c r="Q42" t="s">
        <v>69</v>
      </c>
      <c r="R42" t="str">
        <f t="shared" si="3"/>
        <v>adeline.benet@berger-levrault.com</v>
      </c>
    </row>
    <row r="43" spans="1:18" x14ac:dyDescent="0.25">
      <c r="A43">
        <v>13</v>
      </c>
      <c r="B43" t="s">
        <v>25</v>
      </c>
      <c r="C43" t="str">
        <f t="shared" si="0"/>
        <v>kim boyer</v>
      </c>
      <c r="D43" t="s">
        <v>53</v>
      </c>
      <c r="E43" t="s">
        <v>67</v>
      </c>
      <c r="F43" t="s">
        <v>54</v>
      </c>
      <c r="G43" t="s">
        <v>68</v>
      </c>
      <c r="H43" t="s">
        <v>69</v>
      </c>
      <c r="I43" t="str">
        <f t="shared" si="1"/>
        <v>kim.boyer@berger-levrault.com</v>
      </c>
      <c r="J43" t="s">
        <v>10</v>
      </c>
      <c r="K43" t="s">
        <v>50</v>
      </c>
      <c r="L43" t="str">
        <f t="shared" si="2"/>
        <v>adeline benet</v>
      </c>
      <c r="M43" t="s">
        <v>84</v>
      </c>
      <c r="N43" t="s">
        <v>67</v>
      </c>
      <c r="O43" t="s">
        <v>85</v>
      </c>
      <c r="P43" t="s">
        <v>68</v>
      </c>
      <c r="Q43" t="s">
        <v>69</v>
      </c>
      <c r="R43" t="str">
        <f t="shared" si="3"/>
        <v>adeline.benet@berger-levrault.com</v>
      </c>
    </row>
    <row r="44" spans="1:18" x14ac:dyDescent="0.25">
      <c r="A44">
        <v>14</v>
      </c>
      <c r="B44" t="s">
        <v>28</v>
      </c>
      <c r="C44" t="str">
        <f t="shared" si="0"/>
        <v>franck pinchon</v>
      </c>
      <c r="D44" t="s">
        <v>59</v>
      </c>
      <c r="E44" t="s">
        <v>67</v>
      </c>
      <c r="F44" t="s">
        <v>60</v>
      </c>
      <c r="G44" t="s">
        <v>68</v>
      </c>
      <c r="H44" t="s">
        <v>69</v>
      </c>
      <c r="I44" t="str">
        <f t="shared" si="1"/>
        <v>franck.pinchon@berger-levrault.com</v>
      </c>
      <c r="J44" t="s">
        <v>14</v>
      </c>
      <c r="K44" t="s">
        <v>50</v>
      </c>
      <c r="L44" t="str">
        <f t="shared" si="2"/>
        <v>nathalie gravenhorst</v>
      </c>
      <c r="M44" t="s">
        <v>90</v>
      </c>
      <c r="N44" t="s">
        <v>67</v>
      </c>
      <c r="O44" t="s">
        <v>91</v>
      </c>
      <c r="P44" t="s">
        <v>68</v>
      </c>
      <c r="Q44" t="s">
        <v>69</v>
      </c>
      <c r="R44" t="str">
        <f t="shared" si="3"/>
        <v>nathalie.gravenhorst@berger-levrault.com</v>
      </c>
    </row>
    <row r="45" spans="1:18" x14ac:dyDescent="0.25">
      <c r="A45">
        <v>17</v>
      </c>
      <c r="B45" t="s">
        <v>27</v>
      </c>
      <c r="C45" t="str">
        <f t="shared" si="0"/>
        <v>magali masse</v>
      </c>
      <c r="D45" t="s">
        <v>57</v>
      </c>
      <c r="E45" t="s">
        <v>67</v>
      </c>
      <c r="F45" t="s">
        <v>58</v>
      </c>
      <c r="G45" t="s">
        <v>68</v>
      </c>
      <c r="H45" t="s">
        <v>69</v>
      </c>
      <c r="I45" t="str">
        <f t="shared" si="1"/>
        <v>magali.masse@berger-levrault.com</v>
      </c>
      <c r="J45" t="s">
        <v>17</v>
      </c>
      <c r="K45" t="s">
        <v>50</v>
      </c>
      <c r="L45" t="str">
        <f t="shared" si="2"/>
        <v>armelle roger</v>
      </c>
      <c r="M45" t="s">
        <v>92</v>
      </c>
      <c r="N45" t="s">
        <v>67</v>
      </c>
      <c r="O45" t="s">
        <v>93</v>
      </c>
      <c r="P45" t="s">
        <v>68</v>
      </c>
      <c r="Q45" t="s">
        <v>69</v>
      </c>
      <c r="R45" t="str">
        <f t="shared" si="3"/>
        <v>armelle.roger@berger-levrault.com</v>
      </c>
    </row>
    <row r="46" spans="1:18" x14ac:dyDescent="0.25">
      <c r="A46">
        <v>18</v>
      </c>
      <c r="B46" t="s">
        <v>24</v>
      </c>
      <c r="C46" t="str">
        <f t="shared" si="0"/>
        <v>laurent reich</v>
      </c>
      <c r="D46" t="s">
        <v>55</v>
      </c>
      <c r="E46" t="s">
        <v>67</v>
      </c>
      <c r="F46" t="s">
        <v>56</v>
      </c>
      <c r="G46" t="s">
        <v>68</v>
      </c>
      <c r="H46" t="s">
        <v>69</v>
      </c>
      <c r="I46" t="str">
        <f t="shared" si="1"/>
        <v>laurent.reich@berger-levrault.com</v>
      </c>
      <c r="J46" t="s">
        <v>17</v>
      </c>
      <c r="K46" t="s">
        <v>50</v>
      </c>
      <c r="L46" t="str">
        <f t="shared" si="2"/>
        <v>armelle roger</v>
      </c>
      <c r="M46" t="s">
        <v>92</v>
      </c>
      <c r="N46" t="s">
        <v>67</v>
      </c>
      <c r="O46" t="s">
        <v>93</v>
      </c>
      <c r="P46" t="s">
        <v>68</v>
      </c>
      <c r="Q46" t="s">
        <v>69</v>
      </c>
      <c r="R46" t="str">
        <f t="shared" si="3"/>
        <v>armelle.roger@berger-levrault.com</v>
      </c>
    </row>
    <row r="47" spans="1:18" x14ac:dyDescent="0.25">
      <c r="A47">
        <v>19</v>
      </c>
      <c r="B47" t="s">
        <v>24</v>
      </c>
      <c r="C47" t="str">
        <f t="shared" si="0"/>
        <v>laurent reich</v>
      </c>
      <c r="D47" t="s">
        <v>55</v>
      </c>
      <c r="E47" t="s">
        <v>67</v>
      </c>
      <c r="F47" t="s">
        <v>56</v>
      </c>
      <c r="G47" t="s">
        <v>68</v>
      </c>
      <c r="H47" t="s">
        <v>69</v>
      </c>
      <c r="I47" t="str">
        <f t="shared" si="1"/>
        <v>laurent.reich@berger-levrault.com</v>
      </c>
      <c r="J47" t="s">
        <v>17</v>
      </c>
      <c r="K47" t="s">
        <v>50</v>
      </c>
      <c r="L47" t="str">
        <f t="shared" si="2"/>
        <v>armelle roger</v>
      </c>
      <c r="M47" t="s">
        <v>92</v>
      </c>
      <c r="N47" t="s">
        <v>67</v>
      </c>
      <c r="O47" t="s">
        <v>93</v>
      </c>
      <c r="P47" t="s">
        <v>68</v>
      </c>
      <c r="Q47" t="s">
        <v>69</v>
      </c>
      <c r="R47" t="str">
        <f t="shared" si="3"/>
        <v>armelle.roger@berger-levrault.com</v>
      </c>
    </row>
    <row r="48" spans="1:18" x14ac:dyDescent="0.25">
      <c r="A48">
        <v>21</v>
      </c>
      <c r="B48" t="s">
        <v>23</v>
      </c>
      <c r="C48" t="str">
        <f t="shared" si="0"/>
        <v>estelle murigneux</v>
      </c>
      <c r="D48" t="s">
        <v>62</v>
      </c>
      <c r="E48" t="s">
        <v>67</v>
      </c>
      <c r="F48" t="s">
        <v>63</v>
      </c>
      <c r="G48" t="s">
        <v>68</v>
      </c>
      <c r="H48" t="s">
        <v>69</v>
      </c>
      <c r="I48" t="str">
        <f t="shared" si="1"/>
        <v>estelle.murigneux@berger-levrault.com</v>
      </c>
      <c r="J48" t="s">
        <v>12</v>
      </c>
      <c r="K48" t="s">
        <v>50</v>
      </c>
      <c r="L48" t="str">
        <f t="shared" si="2"/>
        <v>melanie ribuot</v>
      </c>
      <c r="M48" t="s">
        <v>86</v>
      </c>
      <c r="N48" t="s">
        <v>67</v>
      </c>
      <c r="O48" t="s">
        <v>87</v>
      </c>
      <c r="P48" t="s">
        <v>68</v>
      </c>
      <c r="Q48" t="s">
        <v>69</v>
      </c>
      <c r="R48" t="str">
        <f t="shared" si="3"/>
        <v>melanie.ribuot@berger-levrault.com</v>
      </c>
    </row>
    <row r="49" spans="1:18" x14ac:dyDescent="0.25">
      <c r="A49">
        <v>23</v>
      </c>
      <c r="B49" t="s">
        <v>24</v>
      </c>
      <c r="C49" t="str">
        <f t="shared" si="0"/>
        <v>laurent reich</v>
      </c>
      <c r="D49" t="s">
        <v>55</v>
      </c>
      <c r="E49" t="s">
        <v>67</v>
      </c>
      <c r="F49" t="s">
        <v>56</v>
      </c>
      <c r="G49" t="s">
        <v>68</v>
      </c>
      <c r="H49" t="s">
        <v>69</v>
      </c>
      <c r="I49" t="str">
        <f t="shared" si="1"/>
        <v>laurent.reich@berger-levrault.com</v>
      </c>
      <c r="J49" t="s">
        <v>17</v>
      </c>
      <c r="K49" t="s">
        <v>50</v>
      </c>
      <c r="L49" t="str">
        <f t="shared" si="2"/>
        <v>armelle roger</v>
      </c>
      <c r="M49" t="s">
        <v>92</v>
      </c>
      <c r="N49" t="s">
        <v>67</v>
      </c>
      <c r="O49" t="s">
        <v>93</v>
      </c>
      <c r="P49" t="s">
        <v>68</v>
      </c>
      <c r="Q49" t="s">
        <v>69</v>
      </c>
      <c r="R49" t="str">
        <f t="shared" si="3"/>
        <v>armelle.roger@berger-levrault.com</v>
      </c>
    </row>
    <row r="50" spans="1:18" x14ac:dyDescent="0.25">
      <c r="A50">
        <v>26</v>
      </c>
      <c r="B50" t="s">
        <v>25</v>
      </c>
      <c r="C50" t="str">
        <f t="shared" si="0"/>
        <v>kim boyer</v>
      </c>
      <c r="D50" t="s">
        <v>53</v>
      </c>
      <c r="E50" t="s">
        <v>67</v>
      </c>
      <c r="F50" t="s">
        <v>54</v>
      </c>
      <c r="G50" t="s">
        <v>68</v>
      </c>
      <c r="H50" t="s">
        <v>69</v>
      </c>
      <c r="I50" t="str">
        <f t="shared" si="1"/>
        <v>kim.boyer@berger-levrault.com</v>
      </c>
      <c r="J50" t="s">
        <v>8</v>
      </c>
      <c r="K50" t="s">
        <v>50</v>
      </c>
      <c r="L50" t="str">
        <f t="shared" si="2"/>
        <v>jean-yves buzare</v>
      </c>
      <c r="M50" t="s">
        <v>82</v>
      </c>
      <c r="N50" t="s">
        <v>67</v>
      </c>
      <c r="O50" t="s">
        <v>83</v>
      </c>
      <c r="P50" t="s">
        <v>68</v>
      </c>
      <c r="Q50" t="s">
        <v>69</v>
      </c>
      <c r="R50" t="str">
        <f t="shared" si="3"/>
        <v>jean-yves.buzare@berger-levrault.com</v>
      </c>
    </row>
    <row r="51" spans="1:18" x14ac:dyDescent="0.25">
      <c r="A51">
        <v>27</v>
      </c>
      <c r="B51" t="s">
        <v>28</v>
      </c>
      <c r="C51" t="str">
        <f t="shared" si="0"/>
        <v>franck pinchon</v>
      </c>
      <c r="D51" t="s">
        <v>59</v>
      </c>
      <c r="E51" t="s">
        <v>67</v>
      </c>
      <c r="F51" t="s">
        <v>60</v>
      </c>
      <c r="G51" t="s">
        <v>68</v>
      </c>
      <c r="H51" t="s">
        <v>69</v>
      </c>
      <c r="I51" t="str">
        <f t="shared" si="1"/>
        <v>franck.pinchon@berger-levrault.com</v>
      </c>
      <c r="J51" t="s">
        <v>14</v>
      </c>
      <c r="K51" t="s">
        <v>50</v>
      </c>
      <c r="L51" t="str">
        <f t="shared" si="2"/>
        <v>nathalie gravenhorst</v>
      </c>
      <c r="M51" t="s">
        <v>90</v>
      </c>
      <c r="N51" t="s">
        <v>67</v>
      </c>
      <c r="O51" t="s">
        <v>91</v>
      </c>
      <c r="P51" t="s">
        <v>68</v>
      </c>
      <c r="Q51" t="s">
        <v>69</v>
      </c>
      <c r="R51" t="str">
        <f t="shared" si="3"/>
        <v>nathalie.gravenhorst@berger-levrault.com</v>
      </c>
    </row>
    <row r="52" spans="1:18" x14ac:dyDescent="0.25">
      <c r="A52">
        <v>28</v>
      </c>
      <c r="B52" t="s">
        <v>29</v>
      </c>
      <c r="C52" t="str">
        <f t="shared" si="0"/>
        <v>pascal choisier</v>
      </c>
      <c r="D52" t="s">
        <v>51</v>
      </c>
      <c r="E52" t="s">
        <v>67</v>
      </c>
      <c r="F52" t="s">
        <v>61</v>
      </c>
      <c r="G52" t="s">
        <v>68</v>
      </c>
      <c r="H52" t="s">
        <v>69</v>
      </c>
      <c r="I52" t="str">
        <f t="shared" si="1"/>
        <v>pascal.choisier@berger-levrault.com</v>
      </c>
      <c r="J52" t="s">
        <v>17</v>
      </c>
      <c r="K52" t="s">
        <v>50</v>
      </c>
      <c r="L52" t="str">
        <f t="shared" si="2"/>
        <v>armelle roger</v>
      </c>
      <c r="M52" t="s">
        <v>92</v>
      </c>
      <c r="N52" t="s">
        <v>67</v>
      </c>
      <c r="O52" t="s">
        <v>93</v>
      </c>
      <c r="P52" t="s">
        <v>68</v>
      </c>
      <c r="Q52" t="s">
        <v>69</v>
      </c>
      <c r="R52" t="str">
        <f t="shared" si="3"/>
        <v>armelle.roger@berger-levrault.com</v>
      </c>
    </row>
    <row r="53" spans="1:18" x14ac:dyDescent="0.25">
      <c r="A53">
        <v>29</v>
      </c>
      <c r="B53" t="s">
        <v>28</v>
      </c>
      <c r="C53" t="str">
        <f t="shared" si="0"/>
        <v>franck pinchon</v>
      </c>
      <c r="D53" t="s">
        <v>59</v>
      </c>
      <c r="E53" t="s">
        <v>67</v>
      </c>
      <c r="F53" t="s">
        <v>60</v>
      </c>
      <c r="G53" t="s">
        <v>68</v>
      </c>
      <c r="H53" t="s">
        <v>69</v>
      </c>
      <c r="I53" t="str">
        <f t="shared" si="1"/>
        <v>franck.pinchon@berger-levrault.com</v>
      </c>
      <c r="J53" t="s">
        <v>14</v>
      </c>
      <c r="K53" t="s">
        <v>50</v>
      </c>
      <c r="L53" t="str">
        <f t="shared" si="2"/>
        <v>nathalie gravenhorst</v>
      </c>
      <c r="M53" t="s">
        <v>90</v>
      </c>
      <c r="N53" t="s">
        <v>67</v>
      </c>
      <c r="O53" t="s">
        <v>91</v>
      </c>
      <c r="P53" t="s">
        <v>68</v>
      </c>
      <c r="Q53" t="s">
        <v>69</v>
      </c>
      <c r="R53" t="str">
        <f t="shared" si="3"/>
        <v>nathalie.gravenhorst@berger-levrault.com</v>
      </c>
    </row>
    <row r="54" spans="1:18" x14ac:dyDescent="0.25">
      <c r="A54">
        <v>30</v>
      </c>
      <c r="B54" t="s">
        <v>25</v>
      </c>
      <c r="C54" t="str">
        <f t="shared" si="0"/>
        <v>kim boyer</v>
      </c>
      <c r="D54" t="s">
        <v>53</v>
      </c>
      <c r="E54" t="s">
        <v>67</v>
      </c>
      <c r="F54" t="s">
        <v>54</v>
      </c>
      <c r="G54" t="s">
        <v>68</v>
      </c>
      <c r="H54" t="s">
        <v>69</v>
      </c>
      <c r="I54" t="str">
        <f t="shared" si="1"/>
        <v>kim.boyer@berger-levrault.com</v>
      </c>
      <c r="J54" t="s">
        <v>10</v>
      </c>
      <c r="K54" t="s">
        <v>50</v>
      </c>
      <c r="L54" t="str">
        <f t="shared" si="2"/>
        <v>adeline benet</v>
      </c>
      <c r="M54" t="s">
        <v>84</v>
      </c>
      <c r="N54" t="s">
        <v>67</v>
      </c>
      <c r="O54" t="s">
        <v>85</v>
      </c>
      <c r="P54" t="s">
        <v>68</v>
      </c>
      <c r="Q54" t="s">
        <v>69</v>
      </c>
      <c r="R54" t="str">
        <f t="shared" si="3"/>
        <v>adeline.benet@berger-levrault.com</v>
      </c>
    </row>
    <row r="55" spans="1:18" x14ac:dyDescent="0.25">
      <c r="A55">
        <v>32</v>
      </c>
      <c r="B55" t="s">
        <v>27</v>
      </c>
      <c r="C55" t="str">
        <f t="shared" si="0"/>
        <v>magali masse</v>
      </c>
      <c r="D55" t="s">
        <v>57</v>
      </c>
      <c r="E55" t="s">
        <v>67</v>
      </c>
      <c r="F55" t="s">
        <v>58</v>
      </c>
      <c r="G55" t="s">
        <v>68</v>
      </c>
      <c r="H55" t="s">
        <v>69</v>
      </c>
      <c r="I55" t="str">
        <f t="shared" si="1"/>
        <v>magali.masse@berger-levrault.com</v>
      </c>
      <c r="J55" t="s">
        <v>13</v>
      </c>
      <c r="K55" t="s">
        <v>50</v>
      </c>
      <c r="L55" t="str">
        <f t="shared" si="2"/>
        <v>sylvie camboulives</v>
      </c>
      <c r="M55" t="s">
        <v>88</v>
      </c>
      <c r="N55" t="s">
        <v>67</v>
      </c>
      <c r="O55" t="s">
        <v>89</v>
      </c>
      <c r="P55" t="s">
        <v>68</v>
      </c>
      <c r="Q55" t="s">
        <v>69</v>
      </c>
      <c r="R55" t="str">
        <f t="shared" si="3"/>
        <v>sylvie.camboulives@berger-levrault.com</v>
      </c>
    </row>
    <row r="56" spans="1:18" x14ac:dyDescent="0.25">
      <c r="A56">
        <v>33</v>
      </c>
      <c r="B56" t="s">
        <v>27</v>
      </c>
      <c r="C56" t="str">
        <f t="shared" si="0"/>
        <v>magali masse</v>
      </c>
      <c r="D56" t="s">
        <v>57</v>
      </c>
      <c r="E56" t="s">
        <v>67</v>
      </c>
      <c r="F56" t="s">
        <v>58</v>
      </c>
      <c r="G56" t="s">
        <v>68</v>
      </c>
      <c r="H56" t="s">
        <v>69</v>
      </c>
      <c r="I56" t="str">
        <f t="shared" si="1"/>
        <v>magali.masse@berger-levrault.com</v>
      </c>
      <c r="J56" t="s">
        <v>13</v>
      </c>
      <c r="K56" t="s">
        <v>50</v>
      </c>
      <c r="L56" t="str">
        <f t="shared" si="2"/>
        <v>sylvie camboulives</v>
      </c>
      <c r="M56" t="s">
        <v>88</v>
      </c>
      <c r="N56" t="s">
        <v>67</v>
      </c>
      <c r="O56" t="s">
        <v>89</v>
      </c>
      <c r="P56" t="s">
        <v>68</v>
      </c>
      <c r="Q56" t="s">
        <v>69</v>
      </c>
      <c r="R56" t="str">
        <f t="shared" si="3"/>
        <v>sylvie.camboulives@berger-levrault.com</v>
      </c>
    </row>
    <row r="57" spans="1:18" x14ac:dyDescent="0.25">
      <c r="A57">
        <v>34</v>
      </c>
      <c r="B57" t="s">
        <v>24</v>
      </c>
      <c r="C57" t="str">
        <f t="shared" si="0"/>
        <v>laurent reich</v>
      </c>
      <c r="D57" t="s">
        <v>55</v>
      </c>
      <c r="E57" t="s">
        <v>67</v>
      </c>
      <c r="F57" t="s">
        <v>56</v>
      </c>
      <c r="G57" t="s">
        <v>68</v>
      </c>
      <c r="H57" t="s">
        <v>69</v>
      </c>
      <c r="I57" t="str">
        <f t="shared" si="1"/>
        <v>laurent.reich@berger-levrault.com</v>
      </c>
      <c r="J57" t="s">
        <v>10</v>
      </c>
      <c r="K57" t="s">
        <v>50</v>
      </c>
      <c r="L57" t="str">
        <f t="shared" si="2"/>
        <v>adeline benet</v>
      </c>
      <c r="M57" t="s">
        <v>84</v>
      </c>
      <c r="N57" t="s">
        <v>67</v>
      </c>
      <c r="O57" t="s">
        <v>85</v>
      </c>
      <c r="P57" t="s">
        <v>68</v>
      </c>
      <c r="Q57" t="s">
        <v>69</v>
      </c>
      <c r="R57" t="str">
        <f t="shared" si="3"/>
        <v>adeline.benet@berger-levrault.com</v>
      </c>
    </row>
    <row r="58" spans="1:18" x14ac:dyDescent="0.25">
      <c r="A58">
        <v>35</v>
      </c>
      <c r="B58" t="s">
        <v>28</v>
      </c>
      <c r="C58" t="str">
        <f t="shared" si="0"/>
        <v>franck pinchon</v>
      </c>
      <c r="D58" t="s">
        <v>59</v>
      </c>
      <c r="E58" t="s">
        <v>67</v>
      </c>
      <c r="F58" t="s">
        <v>60</v>
      </c>
      <c r="G58" t="s">
        <v>68</v>
      </c>
      <c r="H58" t="s">
        <v>69</v>
      </c>
      <c r="I58" t="str">
        <f t="shared" si="1"/>
        <v>franck.pinchon@berger-levrault.com</v>
      </c>
      <c r="J58" t="s">
        <v>14</v>
      </c>
      <c r="K58" t="s">
        <v>50</v>
      </c>
      <c r="L58" t="str">
        <f t="shared" si="2"/>
        <v>nathalie gravenhorst</v>
      </c>
      <c r="M58" t="s">
        <v>90</v>
      </c>
      <c r="N58" t="s">
        <v>67</v>
      </c>
      <c r="O58" t="s">
        <v>91</v>
      </c>
      <c r="P58" t="s">
        <v>68</v>
      </c>
      <c r="Q58" t="s">
        <v>69</v>
      </c>
      <c r="R58" t="str">
        <f t="shared" si="3"/>
        <v>nathalie.gravenhorst@berger-levrault.com</v>
      </c>
    </row>
    <row r="59" spans="1:18" x14ac:dyDescent="0.25">
      <c r="A59">
        <v>36</v>
      </c>
      <c r="B59" t="s">
        <v>29</v>
      </c>
      <c r="C59" t="str">
        <f t="shared" si="0"/>
        <v>pascal choisier</v>
      </c>
      <c r="D59" t="s">
        <v>51</v>
      </c>
      <c r="E59" t="s">
        <v>67</v>
      </c>
      <c r="F59" t="s">
        <v>61</v>
      </c>
      <c r="G59" t="s">
        <v>68</v>
      </c>
      <c r="H59" t="s">
        <v>69</v>
      </c>
      <c r="I59" t="str">
        <f t="shared" si="1"/>
        <v>pascal.choisier@berger-levrault.com</v>
      </c>
      <c r="J59" t="s">
        <v>17</v>
      </c>
      <c r="K59" t="s">
        <v>50</v>
      </c>
      <c r="L59" t="str">
        <f t="shared" si="2"/>
        <v>armelle roger</v>
      </c>
      <c r="M59" t="s">
        <v>92</v>
      </c>
      <c r="N59" t="s">
        <v>67</v>
      </c>
      <c r="O59" t="s">
        <v>93</v>
      </c>
      <c r="P59" t="s">
        <v>68</v>
      </c>
      <c r="Q59" t="s">
        <v>69</v>
      </c>
      <c r="R59" t="str">
        <f t="shared" si="3"/>
        <v>armelle.roger@berger-levrault.com</v>
      </c>
    </row>
    <row r="60" spans="1:18" x14ac:dyDescent="0.25">
      <c r="A60">
        <v>37</v>
      </c>
      <c r="B60" t="s">
        <v>29</v>
      </c>
      <c r="C60" t="str">
        <f t="shared" si="0"/>
        <v>pascal choisier</v>
      </c>
      <c r="D60" t="s">
        <v>51</v>
      </c>
      <c r="E60" t="s">
        <v>67</v>
      </c>
      <c r="F60" t="s">
        <v>61</v>
      </c>
      <c r="G60" t="s">
        <v>68</v>
      </c>
      <c r="H60" t="s">
        <v>69</v>
      </c>
      <c r="I60" t="str">
        <f t="shared" si="1"/>
        <v>pascal.choisier@berger-levrault.com</v>
      </c>
      <c r="J60" t="s">
        <v>17</v>
      </c>
      <c r="K60" t="s">
        <v>50</v>
      </c>
      <c r="L60" t="str">
        <f t="shared" si="2"/>
        <v>armelle roger</v>
      </c>
      <c r="M60" t="s">
        <v>92</v>
      </c>
      <c r="N60" t="s">
        <v>67</v>
      </c>
      <c r="O60" t="s">
        <v>93</v>
      </c>
      <c r="P60" t="s">
        <v>68</v>
      </c>
      <c r="Q60" t="s">
        <v>69</v>
      </c>
      <c r="R60" t="str">
        <f t="shared" si="3"/>
        <v>armelle.roger@berger-levrault.com</v>
      </c>
    </row>
    <row r="61" spans="1:18" x14ac:dyDescent="0.25">
      <c r="A61">
        <v>40</v>
      </c>
      <c r="B61" t="s">
        <v>27</v>
      </c>
      <c r="C61" t="str">
        <f t="shared" si="0"/>
        <v>magali masse</v>
      </c>
      <c r="D61" t="s">
        <v>57</v>
      </c>
      <c r="E61" t="s">
        <v>67</v>
      </c>
      <c r="F61" t="s">
        <v>58</v>
      </c>
      <c r="G61" t="s">
        <v>68</v>
      </c>
      <c r="H61" t="s">
        <v>69</v>
      </c>
      <c r="I61" t="str">
        <f t="shared" si="1"/>
        <v>magali.masse@berger-levrault.com</v>
      </c>
      <c r="J61" t="s">
        <v>13</v>
      </c>
      <c r="K61" t="s">
        <v>50</v>
      </c>
      <c r="L61" t="str">
        <f t="shared" si="2"/>
        <v>sylvie camboulives</v>
      </c>
      <c r="M61" t="s">
        <v>88</v>
      </c>
      <c r="N61" t="s">
        <v>67</v>
      </c>
      <c r="O61" t="s">
        <v>89</v>
      </c>
      <c r="P61" t="s">
        <v>68</v>
      </c>
      <c r="Q61" t="s">
        <v>69</v>
      </c>
      <c r="R61" t="str">
        <f t="shared" si="3"/>
        <v>sylvie.camboulives@berger-levrault.com</v>
      </c>
    </row>
    <row r="62" spans="1:18" x14ac:dyDescent="0.25">
      <c r="A62">
        <v>41</v>
      </c>
      <c r="B62" t="s">
        <v>29</v>
      </c>
      <c r="C62" t="str">
        <f t="shared" si="0"/>
        <v>pascal choisier</v>
      </c>
      <c r="D62" t="s">
        <v>51</v>
      </c>
      <c r="E62" t="s">
        <v>67</v>
      </c>
      <c r="F62" t="s">
        <v>61</v>
      </c>
      <c r="G62" t="s">
        <v>68</v>
      </c>
      <c r="H62" t="s">
        <v>69</v>
      </c>
      <c r="I62" t="str">
        <f t="shared" si="1"/>
        <v>pascal.choisier@berger-levrault.com</v>
      </c>
      <c r="J62" t="s">
        <v>17</v>
      </c>
      <c r="K62" t="s">
        <v>50</v>
      </c>
      <c r="L62" t="str">
        <f t="shared" si="2"/>
        <v>armelle roger</v>
      </c>
      <c r="M62" t="s">
        <v>92</v>
      </c>
      <c r="N62" t="s">
        <v>67</v>
      </c>
      <c r="O62" t="s">
        <v>93</v>
      </c>
      <c r="P62" t="s">
        <v>68</v>
      </c>
      <c r="Q62" t="s">
        <v>69</v>
      </c>
      <c r="R62" t="str">
        <f t="shared" si="3"/>
        <v>armelle.roger@berger-levrault.com</v>
      </c>
    </row>
    <row r="63" spans="1:18" x14ac:dyDescent="0.25">
      <c r="A63">
        <v>42</v>
      </c>
      <c r="B63" t="s">
        <v>24</v>
      </c>
      <c r="C63" t="str">
        <f t="shared" si="0"/>
        <v>laurent reich</v>
      </c>
      <c r="D63" t="s">
        <v>55</v>
      </c>
      <c r="E63" t="s">
        <v>67</v>
      </c>
      <c r="F63" t="s">
        <v>56</v>
      </c>
      <c r="G63" t="s">
        <v>68</v>
      </c>
      <c r="H63" t="s">
        <v>69</v>
      </c>
      <c r="I63" t="str">
        <f t="shared" si="1"/>
        <v>laurent.reich@berger-levrault.com</v>
      </c>
      <c r="J63" t="s">
        <v>8</v>
      </c>
      <c r="K63" t="s">
        <v>50</v>
      </c>
      <c r="L63" t="str">
        <f t="shared" si="2"/>
        <v>jean-yves buzare</v>
      </c>
      <c r="M63" t="s">
        <v>82</v>
      </c>
      <c r="N63" t="s">
        <v>67</v>
      </c>
      <c r="O63" t="s">
        <v>83</v>
      </c>
      <c r="P63" t="s">
        <v>68</v>
      </c>
      <c r="Q63" t="s">
        <v>69</v>
      </c>
      <c r="R63" t="str">
        <f t="shared" si="3"/>
        <v>jean-yves.buzare@berger-levrault.com</v>
      </c>
    </row>
    <row r="64" spans="1:18" x14ac:dyDescent="0.25">
      <c r="A64">
        <v>45</v>
      </c>
      <c r="B64" t="s">
        <v>23</v>
      </c>
      <c r="C64" t="str">
        <f t="shared" si="0"/>
        <v>estelle murigneux</v>
      </c>
      <c r="D64" t="s">
        <v>62</v>
      </c>
      <c r="E64" t="s">
        <v>67</v>
      </c>
      <c r="F64" t="s">
        <v>63</v>
      </c>
      <c r="G64" t="s">
        <v>68</v>
      </c>
      <c r="H64" t="s">
        <v>69</v>
      </c>
      <c r="I64" t="str">
        <f t="shared" si="1"/>
        <v>estelle.murigneux@berger-levrault.com</v>
      </c>
      <c r="J64" t="s">
        <v>12</v>
      </c>
      <c r="K64" t="s">
        <v>50</v>
      </c>
      <c r="L64" t="str">
        <f t="shared" si="2"/>
        <v>melanie ribuot</v>
      </c>
      <c r="M64" t="s">
        <v>86</v>
      </c>
      <c r="N64" t="s">
        <v>67</v>
      </c>
      <c r="O64" t="s">
        <v>87</v>
      </c>
      <c r="P64" t="s">
        <v>68</v>
      </c>
      <c r="Q64" t="s">
        <v>69</v>
      </c>
      <c r="R64" t="str">
        <f t="shared" si="3"/>
        <v>melanie.ribuot@berger-levrault.com</v>
      </c>
    </row>
    <row r="65" spans="1:18" x14ac:dyDescent="0.25">
      <c r="A65">
        <v>47</v>
      </c>
      <c r="B65" t="s">
        <v>27</v>
      </c>
      <c r="C65" t="str">
        <f t="shared" si="0"/>
        <v>magali masse</v>
      </c>
      <c r="D65" t="s">
        <v>57</v>
      </c>
      <c r="E65" t="s">
        <v>67</v>
      </c>
      <c r="F65" t="s">
        <v>58</v>
      </c>
      <c r="G65" t="s">
        <v>68</v>
      </c>
      <c r="H65" t="s">
        <v>69</v>
      </c>
      <c r="I65" t="str">
        <f t="shared" si="1"/>
        <v>magali.masse@berger-levrault.com</v>
      </c>
      <c r="J65" t="s">
        <v>13</v>
      </c>
      <c r="K65" t="s">
        <v>50</v>
      </c>
      <c r="L65" t="str">
        <f t="shared" si="2"/>
        <v>sylvie camboulives</v>
      </c>
      <c r="M65" t="s">
        <v>88</v>
      </c>
      <c r="N65" t="s">
        <v>67</v>
      </c>
      <c r="O65" t="s">
        <v>89</v>
      </c>
      <c r="P65" t="s">
        <v>68</v>
      </c>
      <c r="Q65" t="s">
        <v>69</v>
      </c>
      <c r="R65" t="str">
        <f t="shared" si="3"/>
        <v>sylvie.camboulives@berger-levrault.com</v>
      </c>
    </row>
    <row r="66" spans="1:18" x14ac:dyDescent="0.25">
      <c r="A66">
        <v>48</v>
      </c>
      <c r="B66" t="s">
        <v>24</v>
      </c>
      <c r="C66" t="str">
        <f t="shared" si="0"/>
        <v>laurent reich</v>
      </c>
      <c r="D66" t="s">
        <v>55</v>
      </c>
      <c r="E66" t="s">
        <v>67</v>
      </c>
      <c r="F66" t="s">
        <v>56</v>
      </c>
      <c r="G66" t="s">
        <v>68</v>
      </c>
      <c r="H66" t="s">
        <v>69</v>
      </c>
      <c r="I66" t="str">
        <f t="shared" si="1"/>
        <v>laurent.reich@berger-levrault.com</v>
      </c>
      <c r="J66" t="s">
        <v>10</v>
      </c>
      <c r="K66" t="s">
        <v>50</v>
      </c>
      <c r="L66" t="str">
        <f t="shared" si="2"/>
        <v>adeline benet</v>
      </c>
      <c r="M66" t="s">
        <v>84</v>
      </c>
      <c r="N66" t="s">
        <v>67</v>
      </c>
      <c r="O66" t="s">
        <v>85</v>
      </c>
      <c r="P66" t="s">
        <v>68</v>
      </c>
      <c r="Q66" t="s">
        <v>69</v>
      </c>
      <c r="R66" t="str">
        <f t="shared" si="3"/>
        <v>adeline.benet@berger-levrault.com</v>
      </c>
    </row>
    <row r="67" spans="1:18" x14ac:dyDescent="0.25">
      <c r="A67">
        <v>51</v>
      </c>
      <c r="B67" t="s">
        <v>23</v>
      </c>
      <c r="C67" t="str">
        <f t="shared" ref="C67:C100" si="4">LOWER(B67)</f>
        <v>estelle murigneux</v>
      </c>
      <c r="D67" t="s">
        <v>62</v>
      </c>
      <c r="E67" t="s">
        <v>67</v>
      </c>
      <c r="F67" t="s">
        <v>63</v>
      </c>
      <c r="G67" t="s">
        <v>68</v>
      </c>
      <c r="H67" t="s">
        <v>69</v>
      </c>
      <c r="I67" t="str">
        <f t="shared" ref="I67:I100" si="5">CONCATENATE(D67,E67,F67,G67,H67)</f>
        <v>estelle.murigneux@berger-levrault.com</v>
      </c>
      <c r="J67" t="s">
        <v>12</v>
      </c>
      <c r="K67" t="s">
        <v>50</v>
      </c>
      <c r="L67" t="str">
        <f t="shared" ref="L67:L100" si="6">LOWER(J67)</f>
        <v>melanie ribuot</v>
      </c>
      <c r="M67" t="s">
        <v>86</v>
      </c>
      <c r="N67" t="s">
        <v>67</v>
      </c>
      <c r="O67" t="s">
        <v>87</v>
      </c>
      <c r="P67" t="s">
        <v>68</v>
      </c>
      <c r="Q67" t="s">
        <v>69</v>
      </c>
      <c r="R67" t="str">
        <f t="shared" ref="R67:R100" si="7">CONCATENATE(M67,N67,O67,P67,Q67,)</f>
        <v>melanie.ribuot@berger-levrault.com</v>
      </c>
    </row>
    <row r="68" spans="1:18" x14ac:dyDescent="0.25">
      <c r="A68">
        <v>52</v>
      </c>
      <c r="B68" t="s">
        <v>23</v>
      </c>
      <c r="C68" t="str">
        <f t="shared" si="4"/>
        <v>estelle murigneux</v>
      </c>
      <c r="D68" t="s">
        <v>62</v>
      </c>
      <c r="E68" t="s">
        <v>67</v>
      </c>
      <c r="F68" t="s">
        <v>63</v>
      </c>
      <c r="G68" t="s">
        <v>68</v>
      </c>
      <c r="H68" t="s">
        <v>69</v>
      </c>
      <c r="I68" t="str">
        <f t="shared" si="5"/>
        <v>estelle.murigneux@berger-levrault.com</v>
      </c>
      <c r="J68" t="s">
        <v>20</v>
      </c>
      <c r="K68" t="s">
        <v>50</v>
      </c>
      <c r="L68" t="str">
        <f t="shared" si="6"/>
        <v>benedicte mareille</v>
      </c>
      <c r="M68" t="s">
        <v>94</v>
      </c>
      <c r="N68" t="s">
        <v>67</v>
      </c>
      <c r="O68" t="s">
        <v>95</v>
      </c>
      <c r="P68" t="s">
        <v>68</v>
      </c>
      <c r="Q68" t="s">
        <v>69</v>
      </c>
      <c r="R68" t="str">
        <f t="shared" si="7"/>
        <v>benedicte.mareille@berger-levrault.com</v>
      </c>
    </row>
    <row r="69" spans="1:18" x14ac:dyDescent="0.25">
      <c r="A69">
        <v>54</v>
      </c>
      <c r="B69" t="s">
        <v>26</v>
      </c>
      <c r="C69" t="str">
        <f t="shared" si="4"/>
        <v>laurent fitzentz</v>
      </c>
      <c r="D69" t="s">
        <v>55</v>
      </c>
      <c r="E69" t="s">
        <v>67</v>
      </c>
      <c r="F69" t="s">
        <v>66</v>
      </c>
      <c r="G69" t="s">
        <v>68</v>
      </c>
      <c r="H69" t="s">
        <v>69</v>
      </c>
      <c r="I69" t="str">
        <f t="shared" si="5"/>
        <v>laurent.fitzentz@berger-levrault.com</v>
      </c>
      <c r="J69" t="s">
        <v>20</v>
      </c>
      <c r="K69" t="s">
        <v>50</v>
      </c>
      <c r="L69" t="str">
        <f t="shared" si="6"/>
        <v>benedicte mareille</v>
      </c>
      <c r="M69" t="s">
        <v>94</v>
      </c>
      <c r="N69" t="s">
        <v>67</v>
      </c>
      <c r="O69" t="s">
        <v>95</v>
      </c>
      <c r="P69" t="s">
        <v>68</v>
      </c>
      <c r="Q69" t="s">
        <v>69</v>
      </c>
      <c r="R69" t="str">
        <f t="shared" si="7"/>
        <v>benedicte.mareille@berger-levrault.com</v>
      </c>
    </row>
    <row r="70" spans="1:18" x14ac:dyDescent="0.25">
      <c r="A70">
        <v>55</v>
      </c>
      <c r="B70" t="s">
        <v>26</v>
      </c>
      <c r="C70" t="str">
        <f t="shared" si="4"/>
        <v>laurent fitzentz</v>
      </c>
      <c r="D70" t="s">
        <v>55</v>
      </c>
      <c r="E70" t="s">
        <v>67</v>
      </c>
      <c r="F70" t="s">
        <v>66</v>
      </c>
      <c r="G70" t="s">
        <v>68</v>
      </c>
      <c r="H70" t="s">
        <v>69</v>
      </c>
      <c r="I70" t="str">
        <f t="shared" si="5"/>
        <v>laurent.fitzentz@berger-levrault.com</v>
      </c>
      <c r="J70" t="s">
        <v>20</v>
      </c>
      <c r="K70" t="s">
        <v>50</v>
      </c>
      <c r="L70" t="str">
        <f t="shared" si="6"/>
        <v>benedicte mareille</v>
      </c>
      <c r="M70" t="s">
        <v>94</v>
      </c>
      <c r="N70" t="s">
        <v>67</v>
      </c>
      <c r="O70" t="s">
        <v>95</v>
      </c>
      <c r="P70" t="s">
        <v>68</v>
      </c>
      <c r="Q70" t="s">
        <v>69</v>
      </c>
      <c r="R70" t="str">
        <f t="shared" si="7"/>
        <v>benedicte.mareille@berger-levrault.com</v>
      </c>
    </row>
    <row r="71" spans="1:18" x14ac:dyDescent="0.25">
      <c r="A71">
        <v>56</v>
      </c>
      <c r="B71" t="s">
        <v>28</v>
      </c>
      <c r="C71" t="str">
        <f t="shared" si="4"/>
        <v>franck pinchon</v>
      </c>
      <c r="D71" t="s">
        <v>59</v>
      </c>
      <c r="E71" t="s">
        <v>67</v>
      </c>
      <c r="F71" t="s">
        <v>60</v>
      </c>
      <c r="G71" t="s">
        <v>68</v>
      </c>
      <c r="H71" t="s">
        <v>69</v>
      </c>
      <c r="I71" t="str">
        <f t="shared" si="5"/>
        <v>franck.pinchon@berger-levrault.com</v>
      </c>
      <c r="J71" t="s">
        <v>14</v>
      </c>
      <c r="K71" t="s">
        <v>50</v>
      </c>
      <c r="L71" t="str">
        <f t="shared" si="6"/>
        <v>nathalie gravenhorst</v>
      </c>
      <c r="M71" t="s">
        <v>90</v>
      </c>
      <c r="N71" t="s">
        <v>67</v>
      </c>
      <c r="O71" t="s">
        <v>91</v>
      </c>
      <c r="P71" t="s">
        <v>68</v>
      </c>
      <c r="Q71" t="s">
        <v>69</v>
      </c>
      <c r="R71" t="str">
        <f t="shared" si="7"/>
        <v>nathalie.gravenhorst@berger-levrault.com</v>
      </c>
    </row>
    <row r="72" spans="1:18" x14ac:dyDescent="0.25">
      <c r="A72">
        <v>57</v>
      </c>
      <c r="B72" t="s">
        <v>26</v>
      </c>
      <c r="C72" t="str">
        <f t="shared" si="4"/>
        <v>laurent fitzentz</v>
      </c>
      <c r="D72" t="s">
        <v>55</v>
      </c>
      <c r="E72" t="s">
        <v>67</v>
      </c>
      <c r="F72" t="s">
        <v>66</v>
      </c>
      <c r="G72" t="s">
        <v>68</v>
      </c>
      <c r="H72" t="s">
        <v>69</v>
      </c>
      <c r="I72" t="str">
        <f t="shared" si="5"/>
        <v>laurent.fitzentz@berger-levrault.com</v>
      </c>
      <c r="J72" t="s">
        <v>20</v>
      </c>
      <c r="K72" t="s">
        <v>50</v>
      </c>
      <c r="L72" t="str">
        <f t="shared" si="6"/>
        <v>benedicte mareille</v>
      </c>
      <c r="M72" t="s">
        <v>94</v>
      </c>
      <c r="N72" t="s">
        <v>67</v>
      </c>
      <c r="O72" t="s">
        <v>95</v>
      </c>
      <c r="P72" t="s">
        <v>68</v>
      </c>
      <c r="Q72" t="s">
        <v>69</v>
      </c>
      <c r="R72" t="str">
        <f t="shared" si="7"/>
        <v>benedicte.mareille@berger-levrault.com</v>
      </c>
    </row>
    <row r="73" spans="1:18" x14ac:dyDescent="0.25">
      <c r="A73">
        <v>59</v>
      </c>
      <c r="B73" t="s">
        <v>30</v>
      </c>
      <c r="C73" t="str">
        <f t="shared" si="4"/>
        <v>stephane lariviere</v>
      </c>
      <c r="D73" t="s">
        <v>64</v>
      </c>
      <c r="E73" t="s">
        <v>67</v>
      </c>
      <c r="F73" t="s">
        <v>65</v>
      </c>
      <c r="G73" t="s">
        <v>68</v>
      </c>
      <c r="H73" t="s">
        <v>69</v>
      </c>
      <c r="I73" t="str">
        <f t="shared" si="5"/>
        <v>stephane.lariviere@berger-levrault.com</v>
      </c>
      <c r="J73" t="s">
        <v>6</v>
      </c>
      <c r="K73" t="s">
        <v>50</v>
      </c>
      <c r="L73" t="str">
        <f t="shared" si="6"/>
        <v>alyssia hyvart</v>
      </c>
      <c r="M73" t="s">
        <v>80</v>
      </c>
      <c r="N73" t="s">
        <v>67</v>
      </c>
      <c r="O73" t="s">
        <v>81</v>
      </c>
      <c r="P73" t="s">
        <v>68</v>
      </c>
      <c r="Q73" t="s">
        <v>69</v>
      </c>
      <c r="R73" t="str">
        <f t="shared" si="7"/>
        <v>alyssia.hyvart@berger-levrault.com</v>
      </c>
    </row>
    <row r="74" spans="1:18" x14ac:dyDescent="0.25">
      <c r="A74">
        <v>61</v>
      </c>
      <c r="B74" t="s">
        <v>28</v>
      </c>
      <c r="C74" t="str">
        <f t="shared" si="4"/>
        <v>franck pinchon</v>
      </c>
      <c r="D74" t="s">
        <v>59</v>
      </c>
      <c r="E74" t="s">
        <v>67</v>
      </c>
      <c r="F74" t="s">
        <v>60</v>
      </c>
      <c r="G74" t="s">
        <v>68</v>
      </c>
      <c r="H74" t="s">
        <v>69</v>
      </c>
      <c r="I74" t="str">
        <f t="shared" si="5"/>
        <v>franck.pinchon@berger-levrault.com</v>
      </c>
      <c r="J74" t="s">
        <v>14</v>
      </c>
      <c r="K74" t="s">
        <v>50</v>
      </c>
      <c r="L74" t="str">
        <f t="shared" si="6"/>
        <v>nathalie gravenhorst</v>
      </c>
      <c r="M74" t="s">
        <v>90</v>
      </c>
      <c r="N74" t="s">
        <v>67</v>
      </c>
      <c r="O74" t="s">
        <v>91</v>
      </c>
      <c r="P74" t="s">
        <v>68</v>
      </c>
      <c r="Q74" t="s">
        <v>69</v>
      </c>
      <c r="R74" t="str">
        <f t="shared" si="7"/>
        <v>nathalie.gravenhorst@berger-levrault.com</v>
      </c>
    </row>
    <row r="75" spans="1:18" x14ac:dyDescent="0.25">
      <c r="A75">
        <v>62</v>
      </c>
      <c r="B75" t="s">
        <v>30</v>
      </c>
      <c r="C75" t="str">
        <f t="shared" si="4"/>
        <v>stephane lariviere</v>
      </c>
      <c r="D75" t="s">
        <v>64</v>
      </c>
      <c r="E75" t="s">
        <v>67</v>
      </c>
      <c r="F75" t="s">
        <v>65</v>
      </c>
      <c r="G75" t="s">
        <v>68</v>
      </c>
      <c r="H75" t="s">
        <v>69</v>
      </c>
      <c r="I75" t="str">
        <f t="shared" si="5"/>
        <v>stephane.lariviere@berger-levrault.com</v>
      </c>
      <c r="J75" t="s">
        <v>6</v>
      </c>
      <c r="K75" t="s">
        <v>50</v>
      </c>
      <c r="L75" t="str">
        <f t="shared" si="6"/>
        <v>alyssia hyvart</v>
      </c>
      <c r="M75" t="s">
        <v>80</v>
      </c>
      <c r="N75" t="s">
        <v>67</v>
      </c>
      <c r="O75" t="s">
        <v>81</v>
      </c>
      <c r="P75" t="s">
        <v>68</v>
      </c>
      <c r="Q75" t="s">
        <v>69</v>
      </c>
      <c r="R75" t="str">
        <f t="shared" si="7"/>
        <v>alyssia.hyvart@berger-levrault.com</v>
      </c>
    </row>
    <row r="76" spans="1:18" x14ac:dyDescent="0.25">
      <c r="A76">
        <v>64</v>
      </c>
      <c r="B76" t="s">
        <v>27</v>
      </c>
      <c r="C76" t="str">
        <f t="shared" si="4"/>
        <v>magali masse</v>
      </c>
      <c r="D76" t="s">
        <v>57</v>
      </c>
      <c r="E76" t="s">
        <v>67</v>
      </c>
      <c r="F76" t="s">
        <v>58</v>
      </c>
      <c r="G76" t="s">
        <v>68</v>
      </c>
      <c r="H76" t="s">
        <v>69</v>
      </c>
      <c r="I76" t="str">
        <f t="shared" si="5"/>
        <v>magali.masse@berger-levrault.com</v>
      </c>
      <c r="J76" t="s">
        <v>13</v>
      </c>
      <c r="K76" t="s">
        <v>50</v>
      </c>
      <c r="L76" t="str">
        <f t="shared" si="6"/>
        <v>sylvie camboulives</v>
      </c>
      <c r="M76" t="s">
        <v>88</v>
      </c>
      <c r="N76" t="s">
        <v>67</v>
      </c>
      <c r="O76" t="s">
        <v>89</v>
      </c>
      <c r="P76" t="s">
        <v>68</v>
      </c>
      <c r="Q76" t="s">
        <v>69</v>
      </c>
      <c r="R76" t="str">
        <f t="shared" si="7"/>
        <v>sylvie.camboulives@berger-levrault.com</v>
      </c>
    </row>
    <row r="77" spans="1:18" x14ac:dyDescent="0.25">
      <c r="A77">
        <v>65</v>
      </c>
      <c r="B77" t="s">
        <v>27</v>
      </c>
      <c r="C77" t="str">
        <f t="shared" si="4"/>
        <v>magali masse</v>
      </c>
      <c r="D77" t="s">
        <v>57</v>
      </c>
      <c r="E77" t="s">
        <v>67</v>
      </c>
      <c r="F77" t="s">
        <v>58</v>
      </c>
      <c r="G77" t="s">
        <v>68</v>
      </c>
      <c r="H77" t="s">
        <v>69</v>
      </c>
      <c r="I77" t="str">
        <f t="shared" si="5"/>
        <v>magali.masse@berger-levrault.com</v>
      </c>
      <c r="J77" t="s">
        <v>13</v>
      </c>
      <c r="K77" t="s">
        <v>50</v>
      </c>
      <c r="L77" t="str">
        <f t="shared" si="6"/>
        <v>sylvie camboulives</v>
      </c>
      <c r="M77" t="s">
        <v>88</v>
      </c>
      <c r="N77" t="s">
        <v>67</v>
      </c>
      <c r="O77" t="s">
        <v>89</v>
      </c>
      <c r="P77" t="s">
        <v>68</v>
      </c>
      <c r="Q77" t="s">
        <v>69</v>
      </c>
      <c r="R77" t="str">
        <f t="shared" si="7"/>
        <v>sylvie.camboulives@berger-levrault.com</v>
      </c>
    </row>
    <row r="78" spans="1:18" x14ac:dyDescent="0.25">
      <c r="A78">
        <v>66</v>
      </c>
      <c r="B78" t="s">
        <v>27</v>
      </c>
      <c r="C78" t="str">
        <f t="shared" si="4"/>
        <v>magali masse</v>
      </c>
      <c r="D78" t="s">
        <v>57</v>
      </c>
      <c r="E78" t="s">
        <v>67</v>
      </c>
      <c r="F78" t="s">
        <v>58</v>
      </c>
      <c r="G78" t="s">
        <v>68</v>
      </c>
      <c r="H78" t="s">
        <v>69</v>
      </c>
      <c r="I78" t="str">
        <f t="shared" si="5"/>
        <v>magali.masse@berger-levrault.com</v>
      </c>
      <c r="J78" t="s">
        <v>13</v>
      </c>
      <c r="K78" t="s">
        <v>50</v>
      </c>
      <c r="L78" t="str">
        <f t="shared" si="6"/>
        <v>sylvie camboulives</v>
      </c>
      <c r="M78" t="s">
        <v>88</v>
      </c>
      <c r="N78" t="s">
        <v>67</v>
      </c>
      <c r="O78" t="s">
        <v>89</v>
      </c>
      <c r="P78" t="s">
        <v>68</v>
      </c>
      <c r="Q78" t="s">
        <v>69</v>
      </c>
      <c r="R78" t="str">
        <f t="shared" si="7"/>
        <v>sylvie.camboulives@berger-levrault.com</v>
      </c>
    </row>
    <row r="79" spans="1:18" x14ac:dyDescent="0.25">
      <c r="A79">
        <v>67</v>
      </c>
      <c r="B79" t="s">
        <v>26</v>
      </c>
      <c r="C79" t="str">
        <f t="shared" si="4"/>
        <v>laurent fitzentz</v>
      </c>
      <c r="D79" t="s">
        <v>55</v>
      </c>
      <c r="E79" t="s">
        <v>67</v>
      </c>
      <c r="F79" t="s">
        <v>66</v>
      </c>
      <c r="G79" t="s">
        <v>68</v>
      </c>
      <c r="H79" t="s">
        <v>69</v>
      </c>
      <c r="I79" t="str">
        <f t="shared" si="5"/>
        <v>laurent.fitzentz@berger-levrault.com</v>
      </c>
      <c r="J79" t="s">
        <v>20</v>
      </c>
      <c r="K79" t="s">
        <v>50</v>
      </c>
      <c r="L79" t="str">
        <f t="shared" si="6"/>
        <v>benedicte mareille</v>
      </c>
      <c r="M79" t="s">
        <v>94</v>
      </c>
      <c r="N79" t="s">
        <v>67</v>
      </c>
      <c r="O79" t="s">
        <v>95</v>
      </c>
      <c r="P79" t="s">
        <v>68</v>
      </c>
      <c r="Q79" t="s">
        <v>69</v>
      </c>
      <c r="R79" t="str">
        <f t="shared" si="7"/>
        <v>benedicte.mareille@berger-levrault.com</v>
      </c>
    </row>
    <row r="80" spans="1:18" x14ac:dyDescent="0.25">
      <c r="A80">
        <v>68</v>
      </c>
      <c r="B80" t="s">
        <v>26</v>
      </c>
      <c r="C80" t="str">
        <f t="shared" si="4"/>
        <v>laurent fitzentz</v>
      </c>
      <c r="D80" t="s">
        <v>55</v>
      </c>
      <c r="E80" t="s">
        <v>67</v>
      </c>
      <c r="F80" t="s">
        <v>66</v>
      </c>
      <c r="G80" t="s">
        <v>68</v>
      </c>
      <c r="H80" t="s">
        <v>69</v>
      </c>
      <c r="I80" t="str">
        <f t="shared" si="5"/>
        <v>laurent.fitzentz@berger-levrault.com</v>
      </c>
      <c r="J80" t="s">
        <v>20</v>
      </c>
      <c r="K80" t="s">
        <v>50</v>
      </c>
      <c r="L80" t="str">
        <f t="shared" si="6"/>
        <v>benedicte mareille</v>
      </c>
      <c r="M80" t="s">
        <v>94</v>
      </c>
      <c r="N80" t="s">
        <v>67</v>
      </c>
      <c r="O80" t="s">
        <v>95</v>
      </c>
      <c r="P80" t="s">
        <v>68</v>
      </c>
      <c r="Q80" t="s">
        <v>69</v>
      </c>
      <c r="R80" t="str">
        <f t="shared" si="7"/>
        <v>benedicte.mareille@berger-levrault.com</v>
      </c>
    </row>
    <row r="81" spans="1:18" x14ac:dyDescent="0.25">
      <c r="A81">
        <v>69</v>
      </c>
      <c r="B81" t="s">
        <v>22</v>
      </c>
      <c r="C81" t="str">
        <f t="shared" si="4"/>
        <v>pascal lefrere</v>
      </c>
      <c r="D81" t="s">
        <v>51</v>
      </c>
      <c r="E81" t="s">
        <v>67</v>
      </c>
      <c r="F81" t="s">
        <v>52</v>
      </c>
      <c r="G81" t="s">
        <v>68</v>
      </c>
      <c r="H81" t="s">
        <v>69</v>
      </c>
      <c r="I81" t="str">
        <f t="shared" si="5"/>
        <v>pascal.lefrere@berger-levrault.com</v>
      </c>
      <c r="J81" t="s">
        <v>8</v>
      </c>
      <c r="K81" t="s">
        <v>50</v>
      </c>
      <c r="L81" t="str">
        <f t="shared" si="6"/>
        <v>jean-yves buzare</v>
      </c>
      <c r="M81" t="s">
        <v>82</v>
      </c>
      <c r="N81" t="s">
        <v>67</v>
      </c>
      <c r="O81" t="s">
        <v>83</v>
      </c>
      <c r="P81" t="s">
        <v>68</v>
      </c>
      <c r="Q81" t="s">
        <v>69</v>
      </c>
      <c r="R81" t="str">
        <f t="shared" si="7"/>
        <v>jean-yves.buzare@berger-levrault.com</v>
      </c>
    </row>
    <row r="82" spans="1:18" x14ac:dyDescent="0.25">
      <c r="A82">
        <v>71</v>
      </c>
      <c r="B82" t="s">
        <v>22</v>
      </c>
      <c r="C82" t="str">
        <f t="shared" si="4"/>
        <v>pascal lefrere</v>
      </c>
      <c r="D82" t="s">
        <v>51</v>
      </c>
      <c r="E82" t="s">
        <v>67</v>
      </c>
      <c r="F82" t="s">
        <v>52</v>
      </c>
      <c r="G82" t="s">
        <v>68</v>
      </c>
      <c r="H82" t="s">
        <v>69</v>
      </c>
      <c r="I82" t="str">
        <f t="shared" si="5"/>
        <v>pascal.lefrere@berger-levrault.com</v>
      </c>
      <c r="J82" t="s">
        <v>12</v>
      </c>
      <c r="K82" t="s">
        <v>50</v>
      </c>
      <c r="L82" t="str">
        <f t="shared" si="6"/>
        <v>melanie ribuot</v>
      </c>
      <c r="M82" t="s">
        <v>86</v>
      </c>
      <c r="N82" t="s">
        <v>67</v>
      </c>
      <c r="O82" t="s">
        <v>87</v>
      </c>
      <c r="P82" t="s">
        <v>68</v>
      </c>
      <c r="Q82" t="s">
        <v>69</v>
      </c>
      <c r="R82" t="str">
        <f t="shared" si="7"/>
        <v>melanie.ribuot@berger-levrault.com</v>
      </c>
    </row>
    <row r="83" spans="1:18" x14ac:dyDescent="0.25">
      <c r="A83">
        <v>75</v>
      </c>
      <c r="B83" t="s">
        <v>30</v>
      </c>
      <c r="C83" t="str">
        <f t="shared" si="4"/>
        <v>stephane lariviere</v>
      </c>
      <c r="D83" t="s">
        <v>64</v>
      </c>
      <c r="E83" t="s">
        <v>67</v>
      </c>
      <c r="F83" t="s">
        <v>65</v>
      </c>
      <c r="G83" t="s">
        <v>68</v>
      </c>
      <c r="H83" t="s">
        <v>69</v>
      </c>
      <c r="I83" t="str">
        <f t="shared" si="5"/>
        <v>stephane.lariviere@berger-levrault.com</v>
      </c>
      <c r="J83" t="s">
        <v>21</v>
      </c>
      <c r="K83" t="s">
        <v>50</v>
      </c>
      <c r="L83" t="str">
        <f t="shared" si="6"/>
        <v>bao le tien</v>
      </c>
      <c r="M83" t="s">
        <v>96</v>
      </c>
      <c r="N83" t="s">
        <v>67</v>
      </c>
      <c r="O83" t="s">
        <v>110</v>
      </c>
      <c r="P83" t="s">
        <v>68</v>
      </c>
      <c r="Q83" t="s">
        <v>69</v>
      </c>
      <c r="R83" t="str">
        <f t="shared" si="7"/>
        <v>bao.letien@berger-levrault.com</v>
      </c>
    </row>
    <row r="84" spans="1:18" x14ac:dyDescent="0.25">
      <c r="A84">
        <v>76</v>
      </c>
      <c r="B84" t="s">
        <v>28</v>
      </c>
      <c r="C84" t="str">
        <f t="shared" si="4"/>
        <v>franck pinchon</v>
      </c>
      <c r="D84" t="s">
        <v>59</v>
      </c>
      <c r="E84" t="s">
        <v>67</v>
      </c>
      <c r="F84" t="s">
        <v>60</v>
      </c>
      <c r="G84" t="s">
        <v>68</v>
      </c>
      <c r="H84" t="s">
        <v>69</v>
      </c>
      <c r="I84" t="str">
        <f t="shared" si="5"/>
        <v>franck.pinchon@berger-levrault.com</v>
      </c>
      <c r="J84" t="s">
        <v>6</v>
      </c>
      <c r="K84" t="s">
        <v>50</v>
      </c>
      <c r="L84" t="str">
        <f t="shared" si="6"/>
        <v>alyssia hyvart</v>
      </c>
      <c r="M84" t="s">
        <v>80</v>
      </c>
      <c r="N84" t="s">
        <v>67</v>
      </c>
      <c r="O84" t="s">
        <v>81</v>
      </c>
      <c r="P84" t="s">
        <v>68</v>
      </c>
      <c r="Q84" t="s">
        <v>69</v>
      </c>
      <c r="R84" t="str">
        <f t="shared" si="7"/>
        <v>alyssia.hyvart@berger-levrault.com</v>
      </c>
    </row>
    <row r="85" spans="1:18" x14ac:dyDescent="0.25">
      <c r="A85">
        <v>77</v>
      </c>
      <c r="B85" t="s">
        <v>23</v>
      </c>
      <c r="C85" t="str">
        <f t="shared" si="4"/>
        <v>estelle murigneux</v>
      </c>
      <c r="D85" t="s">
        <v>62</v>
      </c>
      <c r="E85" t="s">
        <v>67</v>
      </c>
      <c r="F85" t="s">
        <v>63</v>
      </c>
      <c r="G85" t="s">
        <v>68</v>
      </c>
      <c r="H85" t="s">
        <v>69</v>
      </c>
      <c r="I85" t="str">
        <f t="shared" si="5"/>
        <v>estelle.murigneux@berger-levrault.com</v>
      </c>
      <c r="J85" t="s">
        <v>21</v>
      </c>
      <c r="K85" t="s">
        <v>50</v>
      </c>
      <c r="L85" t="str">
        <f t="shared" si="6"/>
        <v>bao le tien</v>
      </c>
      <c r="M85" t="s">
        <v>96</v>
      </c>
      <c r="N85" t="s">
        <v>67</v>
      </c>
      <c r="O85" t="s">
        <v>110</v>
      </c>
      <c r="P85" t="s">
        <v>68</v>
      </c>
      <c r="Q85" t="s">
        <v>69</v>
      </c>
      <c r="R85" t="str">
        <f t="shared" si="7"/>
        <v>bao.letien@berger-levrault.com</v>
      </c>
    </row>
    <row r="86" spans="1:18" x14ac:dyDescent="0.25">
      <c r="A86">
        <v>78</v>
      </c>
      <c r="B86" t="s">
        <v>30</v>
      </c>
      <c r="C86" t="str">
        <f t="shared" si="4"/>
        <v>stephane lariviere</v>
      </c>
      <c r="D86" t="s">
        <v>64</v>
      </c>
      <c r="E86" t="s">
        <v>67</v>
      </c>
      <c r="F86" t="s">
        <v>65</v>
      </c>
      <c r="G86" t="s">
        <v>68</v>
      </c>
      <c r="H86" t="s">
        <v>69</v>
      </c>
      <c r="I86" t="str">
        <f t="shared" si="5"/>
        <v>stephane.lariviere@berger-levrault.com</v>
      </c>
      <c r="J86" t="s">
        <v>21</v>
      </c>
      <c r="K86" t="s">
        <v>50</v>
      </c>
      <c r="L86" t="str">
        <f t="shared" si="6"/>
        <v>bao le tien</v>
      </c>
      <c r="M86" t="s">
        <v>96</v>
      </c>
      <c r="N86" t="s">
        <v>67</v>
      </c>
      <c r="O86" t="s">
        <v>110</v>
      </c>
      <c r="P86" t="s">
        <v>68</v>
      </c>
      <c r="Q86" t="s">
        <v>69</v>
      </c>
      <c r="R86" t="str">
        <f t="shared" si="7"/>
        <v>bao.letien@berger-levrault.com</v>
      </c>
    </row>
    <row r="87" spans="1:18" x14ac:dyDescent="0.25">
      <c r="A87">
        <v>79</v>
      </c>
      <c r="B87" t="s">
        <v>29</v>
      </c>
      <c r="C87" t="str">
        <f t="shared" si="4"/>
        <v>pascal choisier</v>
      </c>
      <c r="D87" t="s">
        <v>51</v>
      </c>
      <c r="E87" t="s">
        <v>67</v>
      </c>
      <c r="F87" t="s">
        <v>61</v>
      </c>
      <c r="G87" t="s">
        <v>68</v>
      </c>
      <c r="H87" t="s">
        <v>69</v>
      </c>
      <c r="I87" t="str">
        <f t="shared" si="5"/>
        <v>pascal.choisier@berger-levrault.com</v>
      </c>
      <c r="J87" t="s">
        <v>17</v>
      </c>
      <c r="K87" t="s">
        <v>50</v>
      </c>
      <c r="L87" t="str">
        <f t="shared" si="6"/>
        <v>armelle roger</v>
      </c>
      <c r="M87" t="s">
        <v>92</v>
      </c>
      <c r="N87" t="s">
        <v>67</v>
      </c>
      <c r="O87" t="s">
        <v>93</v>
      </c>
      <c r="P87" t="s">
        <v>68</v>
      </c>
      <c r="Q87" t="s">
        <v>69</v>
      </c>
      <c r="R87" t="str">
        <f t="shared" si="7"/>
        <v>armelle.roger@berger-levrault.com</v>
      </c>
    </row>
    <row r="88" spans="1:18" x14ac:dyDescent="0.25">
      <c r="A88">
        <v>80</v>
      </c>
      <c r="B88" t="s">
        <v>30</v>
      </c>
      <c r="C88" t="str">
        <f t="shared" si="4"/>
        <v>stephane lariviere</v>
      </c>
      <c r="D88" t="s">
        <v>64</v>
      </c>
      <c r="E88" t="s">
        <v>67</v>
      </c>
      <c r="F88" t="s">
        <v>65</v>
      </c>
      <c r="G88" t="s">
        <v>68</v>
      </c>
      <c r="H88" t="s">
        <v>69</v>
      </c>
      <c r="I88" t="str">
        <f t="shared" si="5"/>
        <v>stephane.lariviere@berger-levrault.com</v>
      </c>
      <c r="J88" t="s">
        <v>6</v>
      </c>
      <c r="K88" t="s">
        <v>50</v>
      </c>
      <c r="L88" t="str">
        <f t="shared" si="6"/>
        <v>alyssia hyvart</v>
      </c>
      <c r="M88" t="s">
        <v>80</v>
      </c>
      <c r="N88" t="s">
        <v>67</v>
      </c>
      <c r="O88" t="s">
        <v>81</v>
      </c>
      <c r="P88" t="s">
        <v>68</v>
      </c>
      <c r="Q88" t="s">
        <v>69</v>
      </c>
      <c r="R88" t="str">
        <f t="shared" si="7"/>
        <v>alyssia.hyvart@berger-levrault.com</v>
      </c>
    </row>
    <row r="89" spans="1:18" x14ac:dyDescent="0.25">
      <c r="A89">
        <v>84</v>
      </c>
      <c r="B89" t="s">
        <v>25</v>
      </c>
      <c r="C89" t="str">
        <f t="shared" si="4"/>
        <v>kim boyer</v>
      </c>
      <c r="D89" t="s">
        <v>53</v>
      </c>
      <c r="E89" t="s">
        <v>67</v>
      </c>
      <c r="F89" t="s">
        <v>54</v>
      </c>
      <c r="G89" t="s">
        <v>68</v>
      </c>
      <c r="H89" t="s">
        <v>69</v>
      </c>
      <c r="I89" t="str">
        <f t="shared" si="5"/>
        <v>kim.boyer@berger-levrault.com</v>
      </c>
      <c r="J89" t="s">
        <v>10</v>
      </c>
      <c r="K89" t="s">
        <v>50</v>
      </c>
      <c r="L89" t="str">
        <f t="shared" si="6"/>
        <v>adeline benet</v>
      </c>
      <c r="M89" t="s">
        <v>84</v>
      </c>
      <c r="N89" t="s">
        <v>67</v>
      </c>
      <c r="O89" t="s">
        <v>85</v>
      </c>
      <c r="P89" t="s">
        <v>68</v>
      </c>
      <c r="Q89" t="s">
        <v>69</v>
      </c>
      <c r="R89" t="str">
        <f t="shared" si="7"/>
        <v>adeline.benet@berger-levrault.com</v>
      </c>
    </row>
    <row r="90" spans="1:18" x14ac:dyDescent="0.25">
      <c r="A90">
        <v>86</v>
      </c>
      <c r="B90" t="s">
        <v>29</v>
      </c>
      <c r="C90" t="str">
        <f t="shared" si="4"/>
        <v>pascal choisier</v>
      </c>
      <c r="D90" t="s">
        <v>51</v>
      </c>
      <c r="E90" t="s">
        <v>67</v>
      </c>
      <c r="F90" t="s">
        <v>61</v>
      </c>
      <c r="G90" t="s">
        <v>68</v>
      </c>
      <c r="H90" t="s">
        <v>69</v>
      </c>
      <c r="I90" t="str">
        <f t="shared" si="5"/>
        <v>pascal.choisier@berger-levrault.com</v>
      </c>
      <c r="J90" t="s">
        <v>17</v>
      </c>
      <c r="K90" t="s">
        <v>50</v>
      </c>
      <c r="L90" t="str">
        <f t="shared" si="6"/>
        <v>armelle roger</v>
      </c>
      <c r="M90" t="s">
        <v>92</v>
      </c>
      <c r="N90" t="s">
        <v>67</v>
      </c>
      <c r="O90" t="s">
        <v>93</v>
      </c>
      <c r="P90" t="s">
        <v>68</v>
      </c>
      <c r="Q90" t="s">
        <v>69</v>
      </c>
      <c r="R90" t="str">
        <f t="shared" si="7"/>
        <v>armelle.roger@berger-levrault.com</v>
      </c>
    </row>
    <row r="91" spans="1:18" x14ac:dyDescent="0.25">
      <c r="A91">
        <v>87</v>
      </c>
      <c r="B91" t="s">
        <v>24</v>
      </c>
      <c r="C91" t="str">
        <f t="shared" si="4"/>
        <v>laurent reich</v>
      </c>
      <c r="D91" t="s">
        <v>55</v>
      </c>
      <c r="E91" t="s">
        <v>67</v>
      </c>
      <c r="F91" t="s">
        <v>56</v>
      </c>
      <c r="G91" t="s">
        <v>68</v>
      </c>
      <c r="H91" t="s">
        <v>69</v>
      </c>
      <c r="I91" t="str">
        <f t="shared" si="5"/>
        <v>laurent.reich@berger-levrault.com</v>
      </c>
      <c r="J91" t="s">
        <v>17</v>
      </c>
      <c r="K91" t="s">
        <v>50</v>
      </c>
      <c r="L91" t="str">
        <f t="shared" si="6"/>
        <v>armelle roger</v>
      </c>
      <c r="M91" t="s">
        <v>92</v>
      </c>
      <c r="N91" t="s">
        <v>67</v>
      </c>
      <c r="O91" t="s">
        <v>93</v>
      </c>
      <c r="P91" t="s">
        <v>68</v>
      </c>
      <c r="Q91" t="s">
        <v>69</v>
      </c>
      <c r="R91" t="str">
        <f t="shared" si="7"/>
        <v>armelle.roger@berger-levrault.com</v>
      </c>
    </row>
    <row r="92" spans="1:18" x14ac:dyDescent="0.25">
      <c r="A92">
        <v>88</v>
      </c>
      <c r="B92" t="s">
        <v>26</v>
      </c>
      <c r="C92" t="str">
        <f t="shared" si="4"/>
        <v>laurent fitzentz</v>
      </c>
      <c r="D92" t="s">
        <v>55</v>
      </c>
      <c r="E92" t="s">
        <v>67</v>
      </c>
      <c r="F92" t="s">
        <v>66</v>
      </c>
      <c r="G92" t="s">
        <v>68</v>
      </c>
      <c r="H92" t="s">
        <v>69</v>
      </c>
      <c r="I92" t="str">
        <f t="shared" si="5"/>
        <v>laurent.fitzentz@berger-levrault.com</v>
      </c>
      <c r="J92" t="s">
        <v>20</v>
      </c>
      <c r="K92" t="s">
        <v>50</v>
      </c>
      <c r="L92" t="str">
        <f t="shared" si="6"/>
        <v>benedicte mareille</v>
      </c>
      <c r="M92" t="s">
        <v>94</v>
      </c>
      <c r="N92" t="s">
        <v>67</v>
      </c>
      <c r="O92" t="s">
        <v>95</v>
      </c>
      <c r="P92" t="s">
        <v>68</v>
      </c>
      <c r="Q92" t="s">
        <v>69</v>
      </c>
      <c r="R92" t="str">
        <f t="shared" si="7"/>
        <v>benedicte.mareille@berger-levrault.com</v>
      </c>
    </row>
    <row r="93" spans="1:18" x14ac:dyDescent="0.25">
      <c r="A93">
        <v>89</v>
      </c>
      <c r="B93" t="s">
        <v>23</v>
      </c>
      <c r="C93" t="str">
        <f t="shared" si="4"/>
        <v>estelle murigneux</v>
      </c>
      <c r="D93" t="s">
        <v>62</v>
      </c>
      <c r="E93" t="s">
        <v>67</v>
      </c>
      <c r="F93" t="s">
        <v>63</v>
      </c>
      <c r="G93" t="s">
        <v>68</v>
      </c>
      <c r="H93" t="s">
        <v>69</v>
      </c>
      <c r="I93" t="str">
        <f t="shared" si="5"/>
        <v>estelle.murigneux@berger-levrault.com</v>
      </c>
      <c r="J93" t="s">
        <v>12</v>
      </c>
      <c r="K93" t="s">
        <v>50</v>
      </c>
      <c r="L93" t="str">
        <f t="shared" si="6"/>
        <v>melanie ribuot</v>
      </c>
      <c r="M93" t="s">
        <v>86</v>
      </c>
      <c r="N93" t="s">
        <v>67</v>
      </c>
      <c r="O93" t="s">
        <v>87</v>
      </c>
      <c r="P93" t="s">
        <v>68</v>
      </c>
      <c r="Q93" t="s">
        <v>69</v>
      </c>
      <c r="R93" t="str">
        <f t="shared" si="7"/>
        <v>melanie.ribuot@berger-levrault.com</v>
      </c>
    </row>
    <row r="94" spans="1:18" x14ac:dyDescent="0.25">
      <c r="A94">
        <v>91</v>
      </c>
      <c r="B94" t="s">
        <v>30</v>
      </c>
      <c r="C94" t="str">
        <f t="shared" si="4"/>
        <v>stephane lariviere</v>
      </c>
      <c r="D94" t="s">
        <v>64</v>
      </c>
      <c r="E94" t="s">
        <v>67</v>
      </c>
      <c r="F94" t="s">
        <v>65</v>
      </c>
      <c r="G94" t="s">
        <v>68</v>
      </c>
      <c r="H94" t="s">
        <v>69</v>
      </c>
      <c r="I94" t="str">
        <f t="shared" si="5"/>
        <v>stephane.lariviere@berger-levrault.com</v>
      </c>
      <c r="J94" t="s">
        <v>21</v>
      </c>
      <c r="K94" t="s">
        <v>50</v>
      </c>
      <c r="L94" t="str">
        <f t="shared" si="6"/>
        <v>bao le tien</v>
      </c>
      <c r="M94" t="s">
        <v>96</v>
      </c>
      <c r="N94" t="s">
        <v>67</v>
      </c>
      <c r="O94" t="s">
        <v>110</v>
      </c>
      <c r="P94" t="s">
        <v>68</v>
      </c>
      <c r="Q94" t="s">
        <v>69</v>
      </c>
      <c r="R94" t="str">
        <f t="shared" si="7"/>
        <v>bao.letien@berger-levrault.com</v>
      </c>
    </row>
    <row r="95" spans="1:18" x14ac:dyDescent="0.25">
      <c r="A95">
        <v>92</v>
      </c>
      <c r="B95" t="s">
        <v>30</v>
      </c>
      <c r="C95" t="str">
        <f t="shared" si="4"/>
        <v>stephane lariviere</v>
      </c>
      <c r="D95" t="s">
        <v>64</v>
      </c>
      <c r="E95" t="s">
        <v>67</v>
      </c>
      <c r="F95" t="s">
        <v>65</v>
      </c>
      <c r="G95" t="s">
        <v>68</v>
      </c>
      <c r="H95" t="s">
        <v>69</v>
      </c>
      <c r="I95" t="str">
        <f t="shared" si="5"/>
        <v>stephane.lariviere@berger-levrault.com</v>
      </c>
      <c r="J95" t="s">
        <v>21</v>
      </c>
      <c r="K95" t="s">
        <v>50</v>
      </c>
      <c r="L95" t="str">
        <f t="shared" si="6"/>
        <v>bao le tien</v>
      </c>
      <c r="M95" t="s">
        <v>96</v>
      </c>
      <c r="N95" t="s">
        <v>67</v>
      </c>
      <c r="O95" t="s">
        <v>110</v>
      </c>
      <c r="P95" t="s">
        <v>68</v>
      </c>
      <c r="Q95" t="s">
        <v>69</v>
      </c>
      <c r="R95" t="str">
        <f t="shared" si="7"/>
        <v>bao.letien@berger-levrault.com</v>
      </c>
    </row>
    <row r="96" spans="1:18" x14ac:dyDescent="0.25">
      <c r="A96">
        <v>93</v>
      </c>
      <c r="B96" t="s">
        <v>30</v>
      </c>
      <c r="C96" t="str">
        <f t="shared" si="4"/>
        <v>stephane lariviere</v>
      </c>
      <c r="D96" t="s">
        <v>64</v>
      </c>
      <c r="E96" t="s">
        <v>67</v>
      </c>
      <c r="F96" t="s">
        <v>65</v>
      </c>
      <c r="G96" t="s">
        <v>68</v>
      </c>
      <c r="H96" t="s">
        <v>69</v>
      </c>
      <c r="I96" t="str">
        <f t="shared" si="5"/>
        <v>stephane.lariviere@berger-levrault.com</v>
      </c>
      <c r="J96" t="s">
        <v>21</v>
      </c>
      <c r="K96" t="s">
        <v>50</v>
      </c>
      <c r="L96" t="str">
        <f t="shared" si="6"/>
        <v>bao le tien</v>
      </c>
      <c r="M96" t="s">
        <v>96</v>
      </c>
      <c r="N96" t="s">
        <v>67</v>
      </c>
      <c r="O96" t="s">
        <v>110</v>
      </c>
      <c r="P96" t="s">
        <v>68</v>
      </c>
      <c r="Q96" t="s">
        <v>69</v>
      </c>
      <c r="R96" t="str">
        <f t="shared" si="7"/>
        <v>bao.letien@berger-levrault.com</v>
      </c>
    </row>
    <row r="97" spans="1:18" x14ac:dyDescent="0.25">
      <c r="A97">
        <v>94</v>
      </c>
      <c r="B97" t="s">
        <v>30</v>
      </c>
      <c r="C97" t="str">
        <f t="shared" si="4"/>
        <v>stephane lariviere</v>
      </c>
      <c r="D97" t="s">
        <v>64</v>
      </c>
      <c r="E97" t="s">
        <v>67</v>
      </c>
      <c r="F97" t="s">
        <v>65</v>
      </c>
      <c r="G97" t="s">
        <v>68</v>
      </c>
      <c r="H97" t="s">
        <v>69</v>
      </c>
      <c r="I97" t="str">
        <f t="shared" si="5"/>
        <v>stephane.lariviere@berger-levrault.com</v>
      </c>
      <c r="J97" t="s">
        <v>21</v>
      </c>
      <c r="K97" t="s">
        <v>50</v>
      </c>
      <c r="L97" t="str">
        <f t="shared" si="6"/>
        <v>bao le tien</v>
      </c>
      <c r="M97" t="s">
        <v>96</v>
      </c>
      <c r="N97" t="s">
        <v>67</v>
      </c>
      <c r="O97" t="s">
        <v>110</v>
      </c>
      <c r="P97" t="s">
        <v>68</v>
      </c>
      <c r="Q97" t="s">
        <v>69</v>
      </c>
      <c r="R97" t="str">
        <f t="shared" si="7"/>
        <v>bao.letien@berger-levrault.com</v>
      </c>
    </row>
    <row r="98" spans="1:18" x14ac:dyDescent="0.25">
      <c r="A98">
        <v>95</v>
      </c>
      <c r="B98" t="s">
        <v>30</v>
      </c>
      <c r="C98" t="str">
        <f t="shared" si="4"/>
        <v>stephane lariviere</v>
      </c>
      <c r="D98" t="s">
        <v>64</v>
      </c>
      <c r="E98" t="s">
        <v>67</v>
      </c>
      <c r="F98" t="s">
        <v>65</v>
      </c>
      <c r="G98" t="s">
        <v>68</v>
      </c>
      <c r="H98" t="s">
        <v>69</v>
      </c>
      <c r="I98" t="str">
        <f t="shared" si="5"/>
        <v>stephane.lariviere@berger-levrault.com</v>
      </c>
      <c r="J98" t="s">
        <v>21</v>
      </c>
      <c r="K98" t="s">
        <v>50</v>
      </c>
      <c r="L98" t="str">
        <f t="shared" si="6"/>
        <v>bao le tien</v>
      </c>
      <c r="M98" t="s">
        <v>96</v>
      </c>
      <c r="N98" t="s">
        <v>67</v>
      </c>
      <c r="O98" t="s">
        <v>110</v>
      </c>
      <c r="P98" t="s">
        <v>68</v>
      </c>
      <c r="Q98" t="s">
        <v>69</v>
      </c>
      <c r="R98" t="str">
        <f t="shared" si="7"/>
        <v>bao.letien@berger-levrault.com</v>
      </c>
    </row>
    <row r="99" spans="1:18" x14ac:dyDescent="0.25">
      <c r="A99">
        <v>98</v>
      </c>
      <c r="B99" t="s">
        <v>25</v>
      </c>
      <c r="C99" t="str">
        <f t="shared" si="4"/>
        <v>kim boyer</v>
      </c>
      <c r="D99" t="s">
        <v>53</v>
      </c>
      <c r="E99" t="s">
        <v>67</v>
      </c>
      <c r="F99" t="s">
        <v>54</v>
      </c>
      <c r="G99" t="s">
        <v>68</v>
      </c>
      <c r="H99" t="s">
        <v>69</v>
      </c>
      <c r="I99" t="str">
        <f t="shared" si="5"/>
        <v>kim.boyer@berger-levrault.com</v>
      </c>
      <c r="J99" t="s">
        <v>10</v>
      </c>
      <c r="K99" t="s">
        <v>50</v>
      </c>
      <c r="L99" t="str">
        <f t="shared" si="6"/>
        <v>adeline benet</v>
      </c>
      <c r="M99" t="s">
        <v>84</v>
      </c>
      <c r="N99" t="s">
        <v>67</v>
      </c>
      <c r="O99" t="s">
        <v>85</v>
      </c>
      <c r="P99" t="s">
        <v>68</v>
      </c>
      <c r="Q99" t="s">
        <v>69</v>
      </c>
      <c r="R99" t="str">
        <f t="shared" si="7"/>
        <v>adeline.benet@berger-levrault.com</v>
      </c>
    </row>
    <row r="100" spans="1:18" x14ac:dyDescent="0.25">
      <c r="A100">
        <v>980</v>
      </c>
      <c r="B100" t="s">
        <v>25</v>
      </c>
      <c r="C100" t="str">
        <f t="shared" si="4"/>
        <v>kim boyer</v>
      </c>
      <c r="D100" t="s">
        <v>53</v>
      </c>
      <c r="E100" t="s">
        <v>67</v>
      </c>
      <c r="F100" t="s">
        <v>54</v>
      </c>
      <c r="G100" t="s">
        <v>68</v>
      </c>
      <c r="H100" t="s">
        <v>69</v>
      </c>
      <c r="I100" t="str">
        <f t="shared" si="5"/>
        <v>kim.boyer@berger-levrault.com</v>
      </c>
      <c r="J100" t="s">
        <v>10</v>
      </c>
      <c r="K100" t="s">
        <v>50</v>
      </c>
      <c r="L100" t="str">
        <f t="shared" si="6"/>
        <v>adeline benet</v>
      </c>
      <c r="M100" t="s">
        <v>84</v>
      </c>
      <c r="N100" t="s">
        <v>67</v>
      </c>
      <c r="O100" t="s">
        <v>85</v>
      </c>
      <c r="P100" t="s">
        <v>68</v>
      </c>
      <c r="Q100" t="s">
        <v>69</v>
      </c>
      <c r="R100" t="str">
        <f t="shared" si="7"/>
        <v>adeline.benet@berger-levrault.com</v>
      </c>
    </row>
  </sheetData>
  <sortState xmlns:xlrd2="http://schemas.microsoft.com/office/spreadsheetml/2017/richdata2" ref="A2:L166">
    <sortCondition ref="K2:K1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CB81-69CB-45CE-80D3-878FFD6E3346}">
  <dimension ref="A1:Q99"/>
  <sheetViews>
    <sheetView tabSelected="1" workbookViewId="0">
      <selection activeCell="D4" sqref="D4"/>
    </sheetView>
  </sheetViews>
  <sheetFormatPr baseColWidth="10" defaultColWidth="32.7109375" defaultRowHeight="15" x14ac:dyDescent="0.25"/>
  <cols>
    <col min="1" max="1" width="13" bestFit="1" customWidth="1"/>
    <col min="7" max="7" width="35.7109375" customWidth="1"/>
    <col min="9" max="9" width="2.85546875" customWidth="1"/>
    <col min="10" max="10" width="13" bestFit="1" customWidth="1"/>
    <col min="14" max="14" width="2.7109375" customWidth="1"/>
    <col min="15" max="15" width="13" bestFit="1" customWidth="1"/>
  </cols>
  <sheetData>
    <row r="1" spans="1:17" s="14" customFormat="1" ht="15.75" x14ac:dyDescent="0.25">
      <c r="A1" s="38" t="s">
        <v>127</v>
      </c>
      <c r="B1" s="40" t="s">
        <v>124</v>
      </c>
      <c r="C1" s="41"/>
      <c r="D1" s="42" t="s">
        <v>125</v>
      </c>
      <c r="E1" s="43"/>
      <c r="F1" s="44" t="s">
        <v>126</v>
      </c>
      <c r="G1" s="45"/>
      <c r="H1" s="45"/>
      <c r="J1" s="38" t="s">
        <v>127</v>
      </c>
      <c r="K1" s="47" t="s">
        <v>128</v>
      </c>
      <c r="L1" s="47"/>
      <c r="M1" s="47"/>
      <c r="O1" s="38" t="s">
        <v>127</v>
      </c>
      <c r="P1" s="37" t="s">
        <v>131</v>
      </c>
      <c r="Q1" s="37"/>
    </row>
    <row r="2" spans="1:17" s="14" customFormat="1" ht="60" x14ac:dyDescent="0.25">
      <c r="A2" s="39"/>
      <c r="B2" s="31" t="s">
        <v>140</v>
      </c>
      <c r="C2" s="27" t="s">
        <v>141</v>
      </c>
      <c r="D2" s="32" t="s">
        <v>140</v>
      </c>
      <c r="E2" s="28" t="s">
        <v>141</v>
      </c>
      <c r="F2" s="24" t="s">
        <v>142</v>
      </c>
      <c r="G2" s="29" t="s">
        <v>141</v>
      </c>
      <c r="H2" s="26" t="s">
        <v>143</v>
      </c>
      <c r="J2" s="39"/>
      <c r="K2" s="30" t="s">
        <v>141</v>
      </c>
      <c r="L2" s="33" t="s">
        <v>151</v>
      </c>
      <c r="M2" s="25" t="s">
        <v>152</v>
      </c>
      <c r="O2" s="46"/>
      <c r="P2" s="23" t="s">
        <v>147</v>
      </c>
      <c r="Q2" s="23" t="s">
        <v>148</v>
      </c>
    </row>
    <row r="3" spans="1:17" s="14" customFormat="1" ht="30" x14ac:dyDescent="0.25">
      <c r="A3" s="39"/>
      <c r="B3" s="15" t="s">
        <v>132</v>
      </c>
      <c r="C3" s="15" t="s">
        <v>123</v>
      </c>
      <c r="D3" s="16" t="s">
        <v>122</v>
      </c>
      <c r="E3" s="16" t="s">
        <v>123</v>
      </c>
      <c r="F3" s="21" t="s">
        <v>121</v>
      </c>
      <c r="G3" s="21" t="s">
        <v>144</v>
      </c>
      <c r="H3" s="21" t="s">
        <v>133</v>
      </c>
      <c r="J3" s="46"/>
      <c r="K3" s="17" t="s">
        <v>145</v>
      </c>
      <c r="L3" s="17" t="s">
        <v>146</v>
      </c>
      <c r="M3" s="17" t="s">
        <v>150</v>
      </c>
      <c r="O3" s="13">
        <v>971</v>
      </c>
      <c r="P3" s="13" t="s">
        <v>43</v>
      </c>
      <c r="Q3" s="13"/>
    </row>
    <row r="4" spans="1:17" s="12" customFormat="1" x14ac:dyDescent="0.25">
      <c r="A4">
        <v>1</v>
      </c>
      <c r="B4" s="34" t="s">
        <v>36</v>
      </c>
      <c r="C4" s="34" t="s">
        <v>7</v>
      </c>
      <c r="D4" s="35" t="s">
        <v>32</v>
      </c>
      <c r="E4" s="35" t="s">
        <v>7</v>
      </c>
      <c r="F4" s="36" t="s">
        <v>23</v>
      </c>
      <c r="G4" s="36" t="s">
        <v>135</v>
      </c>
      <c r="H4" s="36" t="s">
        <v>134</v>
      </c>
      <c r="J4">
        <v>1</v>
      </c>
      <c r="K4" s="18" t="s">
        <v>129</v>
      </c>
      <c r="L4" s="18" t="s">
        <v>130</v>
      </c>
      <c r="M4" s="18" t="s">
        <v>149</v>
      </c>
      <c r="O4" s="13">
        <v>972</v>
      </c>
      <c r="P4" s="13" t="s">
        <v>43</v>
      </c>
      <c r="Q4" s="13"/>
    </row>
    <row r="5" spans="1:17" x14ac:dyDescent="0.25">
      <c r="A5">
        <v>2</v>
      </c>
      <c r="B5" s="19" t="s">
        <v>36</v>
      </c>
      <c r="C5" s="19" t="s">
        <v>7</v>
      </c>
      <c r="D5" s="20" t="s">
        <v>35</v>
      </c>
      <c r="E5" s="20" t="s">
        <v>7</v>
      </c>
      <c r="F5" s="22" t="s">
        <v>23</v>
      </c>
      <c r="G5" s="22" t="s">
        <v>8</v>
      </c>
      <c r="H5" s="22" t="s">
        <v>134</v>
      </c>
      <c r="J5">
        <v>2</v>
      </c>
      <c r="K5" s="18" t="s">
        <v>129</v>
      </c>
      <c r="L5" s="18" t="s">
        <v>130</v>
      </c>
      <c r="M5" s="18" t="s">
        <v>149</v>
      </c>
      <c r="O5" s="13">
        <v>973</v>
      </c>
      <c r="P5" s="13" t="s">
        <v>43</v>
      </c>
      <c r="Q5" s="13"/>
    </row>
    <row r="6" spans="1:17" x14ac:dyDescent="0.25">
      <c r="A6">
        <v>3</v>
      </c>
      <c r="B6" s="19" t="s">
        <v>36</v>
      </c>
      <c r="C6" s="19" t="s">
        <v>15</v>
      </c>
      <c r="D6" s="20" t="s">
        <v>34</v>
      </c>
      <c r="E6" s="20" t="s">
        <v>15</v>
      </c>
      <c r="F6" s="22" t="s">
        <v>24</v>
      </c>
      <c r="G6" s="22" t="s">
        <v>136</v>
      </c>
      <c r="H6" s="22" t="s">
        <v>134</v>
      </c>
      <c r="J6">
        <v>3</v>
      </c>
      <c r="K6" s="18" t="s">
        <v>129</v>
      </c>
      <c r="L6" s="18" t="s">
        <v>130</v>
      </c>
      <c r="M6" s="18" t="s">
        <v>149</v>
      </c>
      <c r="O6" s="13">
        <v>974</v>
      </c>
      <c r="P6" s="13" t="s">
        <v>43</v>
      </c>
      <c r="Q6" s="13"/>
    </row>
    <row r="7" spans="1:17" x14ac:dyDescent="0.25">
      <c r="A7">
        <v>4</v>
      </c>
      <c r="B7" s="19" t="s">
        <v>36</v>
      </c>
      <c r="C7" s="19" t="s">
        <v>21</v>
      </c>
      <c r="D7" s="20" t="s">
        <v>32</v>
      </c>
      <c r="E7" s="20" t="s">
        <v>21</v>
      </c>
      <c r="F7" s="22" t="s">
        <v>24</v>
      </c>
      <c r="G7" s="22" t="s">
        <v>137</v>
      </c>
      <c r="H7" s="22" t="s">
        <v>134</v>
      </c>
      <c r="J7">
        <v>4</v>
      </c>
      <c r="K7" s="18" t="s">
        <v>129</v>
      </c>
      <c r="L7" s="18" t="s">
        <v>130</v>
      </c>
      <c r="M7" s="18" t="s">
        <v>149</v>
      </c>
      <c r="O7" s="13">
        <v>975</v>
      </c>
      <c r="P7" s="13" t="s">
        <v>43</v>
      </c>
      <c r="Q7" s="13"/>
    </row>
    <row r="8" spans="1:17" x14ac:dyDescent="0.25">
      <c r="A8">
        <v>5</v>
      </c>
      <c r="B8" s="19" t="s">
        <v>36</v>
      </c>
      <c r="C8" s="19" t="s">
        <v>21</v>
      </c>
      <c r="D8" s="20" t="s">
        <v>32</v>
      </c>
      <c r="E8" s="20" t="s">
        <v>21</v>
      </c>
      <c r="F8" s="22" t="s">
        <v>24</v>
      </c>
      <c r="G8" s="22" t="s">
        <v>137</v>
      </c>
      <c r="H8" s="22" t="s">
        <v>134</v>
      </c>
      <c r="J8">
        <v>5</v>
      </c>
      <c r="K8" s="18" t="s">
        <v>129</v>
      </c>
      <c r="L8" s="18" t="s">
        <v>130</v>
      </c>
      <c r="M8" s="18" t="s">
        <v>149</v>
      </c>
      <c r="O8" s="13">
        <v>976</v>
      </c>
      <c r="P8" s="13" t="s">
        <v>43</v>
      </c>
      <c r="Q8" s="13"/>
    </row>
    <row r="9" spans="1:17" x14ac:dyDescent="0.25">
      <c r="A9">
        <v>6</v>
      </c>
      <c r="B9" s="19" t="s">
        <v>36</v>
      </c>
      <c r="C9" s="19" t="s">
        <v>21</v>
      </c>
      <c r="D9" s="20" t="s">
        <v>32</v>
      </c>
      <c r="E9" s="20" t="s">
        <v>21</v>
      </c>
      <c r="F9" s="22" t="s">
        <v>24</v>
      </c>
      <c r="G9" s="22" t="s">
        <v>135</v>
      </c>
      <c r="H9" s="22" t="s">
        <v>134</v>
      </c>
      <c r="J9">
        <v>6</v>
      </c>
      <c r="K9" s="18" t="s">
        <v>129</v>
      </c>
      <c r="L9" s="18" t="s">
        <v>130</v>
      </c>
      <c r="M9" s="18" t="s">
        <v>149</v>
      </c>
      <c r="O9" s="13">
        <v>986</v>
      </c>
      <c r="P9" s="13"/>
      <c r="Q9" s="13" t="s">
        <v>44</v>
      </c>
    </row>
    <row r="10" spans="1:17" x14ac:dyDescent="0.25">
      <c r="A10">
        <v>7</v>
      </c>
      <c r="B10" s="19" t="s">
        <v>36</v>
      </c>
      <c r="C10" s="19" t="s">
        <v>21</v>
      </c>
      <c r="D10" s="20" t="s">
        <v>32</v>
      </c>
      <c r="E10" s="20" t="s">
        <v>21</v>
      </c>
      <c r="F10" s="22" t="s">
        <v>24</v>
      </c>
      <c r="G10" s="22" t="s">
        <v>137</v>
      </c>
      <c r="H10" s="22" t="s">
        <v>134</v>
      </c>
      <c r="J10">
        <v>7</v>
      </c>
      <c r="K10" s="18" t="s">
        <v>129</v>
      </c>
      <c r="L10" s="18" t="s">
        <v>130</v>
      </c>
      <c r="M10" s="18" t="s">
        <v>149</v>
      </c>
      <c r="O10" s="13">
        <v>987</v>
      </c>
      <c r="P10" s="13"/>
      <c r="Q10" s="13" t="s">
        <v>44</v>
      </c>
    </row>
    <row r="11" spans="1:17" x14ac:dyDescent="0.25">
      <c r="A11">
        <v>8</v>
      </c>
      <c r="B11" s="19" t="s">
        <v>36</v>
      </c>
      <c r="C11" s="19" t="s">
        <v>7</v>
      </c>
      <c r="D11" s="20" t="s">
        <v>35</v>
      </c>
      <c r="E11" s="20" t="s">
        <v>7</v>
      </c>
      <c r="F11" s="22" t="s">
        <v>139</v>
      </c>
      <c r="G11" s="22" t="s">
        <v>8</v>
      </c>
      <c r="H11" s="22" t="s">
        <v>134</v>
      </c>
      <c r="J11">
        <v>8</v>
      </c>
      <c r="K11" s="18" t="s">
        <v>129</v>
      </c>
      <c r="L11" s="18" t="s">
        <v>130</v>
      </c>
      <c r="M11" s="18" t="s">
        <v>149</v>
      </c>
      <c r="O11" s="13">
        <v>988</v>
      </c>
      <c r="P11" s="13"/>
      <c r="Q11" s="13" t="s">
        <v>44</v>
      </c>
    </row>
    <row r="12" spans="1:17" x14ac:dyDescent="0.25">
      <c r="A12">
        <v>9</v>
      </c>
      <c r="B12" s="19" t="s">
        <v>37</v>
      </c>
      <c r="C12" s="19" t="s">
        <v>21</v>
      </c>
      <c r="D12" s="20" t="s">
        <v>34</v>
      </c>
      <c r="E12" s="20" t="s">
        <v>21</v>
      </c>
      <c r="F12" s="22" t="s">
        <v>27</v>
      </c>
      <c r="G12" s="22" t="s">
        <v>137</v>
      </c>
      <c r="H12" s="22" t="s">
        <v>134</v>
      </c>
      <c r="J12">
        <v>9</v>
      </c>
      <c r="K12" s="18" t="s">
        <v>129</v>
      </c>
      <c r="L12" s="18" t="s">
        <v>130</v>
      </c>
      <c r="M12" s="18" t="s">
        <v>149</v>
      </c>
      <c r="O12" s="13">
        <v>977</v>
      </c>
      <c r="P12" s="13"/>
      <c r="Q12" s="13" t="s">
        <v>44</v>
      </c>
    </row>
    <row r="13" spans="1:17" x14ac:dyDescent="0.25">
      <c r="A13">
        <v>10</v>
      </c>
      <c r="B13" s="19" t="s">
        <v>36</v>
      </c>
      <c r="C13" s="19" t="s">
        <v>7</v>
      </c>
      <c r="D13" s="20" t="s">
        <v>35</v>
      </c>
      <c r="E13" s="20" t="s">
        <v>7</v>
      </c>
      <c r="F13" s="22" t="s">
        <v>23</v>
      </c>
      <c r="G13" s="22" t="s">
        <v>136</v>
      </c>
      <c r="H13" s="22" t="s">
        <v>134</v>
      </c>
      <c r="J13">
        <v>10</v>
      </c>
      <c r="K13" s="18" t="s">
        <v>129</v>
      </c>
      <c r="L13" s="18" t="s">
        <v>130</v>
      </c>
      <c r="M13" s="18" t="s">
        <v>149</v>
      </c>
      <c r="O13" s="13">
        <v>978</v>
      </c>
      <c r="P13" s="13"/>
      <c r="Q13" s="13" t="s">
        <v>44</v>
      </c>
    </row>
    <row r="14" spans="1:17" x14ac:dyDescent="0.25">
      <c r="A14">
        <v>11</v>
      </c>
      <c r="B14" s="19" t="s">
        <v>37</v>
      </c>
      <c r="C14" s="19" t="s">
        <v>21</v>
      </c>
      <c r="D14" s="20" t="s">
        <v>34</v>
      </c>
      <c r="E14" s="20" t="s">
        <v>21</v>
      </c>
      <c r="F14" s="22" t="s">
        <v>24</v>
      </c>
      <c r="G14" s="22" t="s">
        <v>137</v>
      </c>
      <c r="H14" s="22" t="s">
        <v>134</v>
      </c>
      <c r="J14">
        <v>11</v>
      </c>
      <c r="K14" s="18" t="s">
        <v>129</v>
      </c>
      <c r="L14" s="18" t="s">
        <v>130</v>
      </c>
      <c r="M14" s="18" t="s">
        <v>149</v>
      </c>
      <c r="O14" s="13">
        <v>984</v>
      </c>
      <c r="P14" s="13"/>
      <c r="Q14" s="13" t="s">
        <v>44</v>
      </c>
    </row>
    <row r="15" spans="1:17" x14ac:dyDescent="0.25">
      <c r="A15">
        <v>12</v>
      </c>
      <c r="B15" s="19" t="s">
        <v>37</v>
      </c>
      <c r="C15" s="19" t="s">
        <v>21</v>
      </c>
      <c r="D15" s="20" t="s">
        <v>34</v>
      </c>
      <c r="E15" s="20" t="s">
        <v>21</v>
      </c>
      <c r="F15" s="22" t="s">
        <v>24</v>
      </c>
      <c r="G15" s="22" t="s">
        <v>138</v>
      </c>
      <c r="H15" s="22" t="s">
        <v>134</v>
      </c>
      <c r="J15">
        <v>12</v>
      </c>
      <c r="K15" s="18" t="s">
        <v>129</v>
      </c>
      <c r="L15" s="18" t="s">
        <v>130</v>
      </c>
      <c r="M15" s="18" t="s">
        <v>149</v>
      </c>
      <c r="O15" s="13">
        <v>989</v>
      </c>
      <c r="P15" s="13"/>
      <c r="Q15" s="13" t="s">
        <v>44</v>
      </c>
    </row>
    <row r="16" spans="1:17" x14ac:dyDescent="0.25">
      <c r="A16">
        <v>13</v>
      </c>
      <c r="B16" s="19" t="s">
        <v>36</v>
      </c>
      <c r="C16" s="19" t="s">
        <v>21</v>
      </c>
      <c r="D16" s="20" t="s">
        <v>32</v>
      </c>
      <c r="E16" s="20" t="s">
        <v>21</v>
      </c>
      <c r="F16" s="22" t="s">
        <v>24</v>
      </c>
      <c r="G16" s="22" t="s">
        <v>137</v>
      </c>
      <c r="H16" s="22" t="s">
        <v>134</v>
      </c>
      <c r="J16">
        <v>13</v>
      </c>
      <c r="K16" s="18" t="s">
        <v>129</v>
      </c>
      <c r="L16" s="18" t="s">
        <v>130</v>
      </c>
      <c r="M16" s="18" t="s">
        <v>149</v>
      </c>
    </row>
    <row r="17" spans="1:13" x14ac:dyDescent="0.25">
      <c r="A17">
        <v>14</v>
      </c>
      <c r="B17" s="19" t="s">
        <v>37</v>
      </c>
      <c r="C17" s="19" t="s">
        <v>15</v>
      </c>
      <c r="D17" s="20" t="s">
        <v>35</v>
      </c>
      <c r="E17" s="20" t="s">
        <v>15</v>
      </c>
      <c r="F17" s="22" t="s">
        <v>29</v>
      </c>
      <c r="G17" s="22" t="s">
        <v>20</v>
      </c>
      <c r="H17" s="22" t="s">
        <v>134</v>
      </c>
      <c r="J17">
        <v>14</v>
      </c>
      <c r="K17" s="18" t="s">
        <v>129</v>
      </c>
      <c r="L17" s="18" t="s">
        <v>130</v>
      </c>
      <c r="M17" s="18" t="s">
        <v>149</v>
      </c>
    </row>
    <row r="18" spans="1:13" x14ac:dyDescent="0.25">
      <c r="A18">
        <v>15</v>
      </c>
      <c r="B18" s="19" t="s">
        <v>36</v>
      </c>
      <c r="C18" s="19" t="s">
        <v>21</v>
      </c>
      <c r="D18" s="20" t="s">
        <v>34</v>
      </c>
      <c r="E18" s="20" t="s">
        <v>21</v>
      </c>
      <c r="F18" s="22" t="s">
        <v>24</v>
      </c>
      <c r="G18" s="22" t="s">
        <v>138</v>
      </c>
      <c r="H18" s="22" t="s">
        <v>134</v>
      </c>
      <c r="J18">
        <v>15</v>
      </c>
      <c r="K18" s="18" t="s">
        <v>129</v>
      </c>
      <c r="L18" s="18" t="s">
        <v>130</v>
      </c>
      <c r="M18" s="18" t="s">
        <v>149</v>
      </c>
    </row>
    <row r="19" spans="1:13" x14ac:dyDescent="0.25">
      <c r="A19">
        <v>16</v>
      </c>
      <c r="B19" s="19" t="s">
        <v>37</v>
      </c>
      <c r="C19" s="19" t="s">
        <v>15</v>
      </c>
      <c r="D19" s="20" t="s">
        <v>34</v>
      </c>
      <c r="E19" s="20" t="s">
        <v>15</v>
      </c>
      <c r="F19" s="22" t="s">
        <v>27</v>
      </c>
      <c r="G19" s="22" t="s">
        <v>138</v>
      </c>
      <c r="H19" s="22" t="s">
        <v>134</v>
      </c>
      <c r="J19">
        <v>16</v>
      </c>
      <c r="K19" s="18" t="s">
        <v>129</v>
      </c>
      <c r="L19" s="18" t="s">
        <v>130</v>
      </c>
      <c r="M19" s="18" t="s">
        <v>149</v>
      </c>
    </row>
    <row r="20" spans="1:13" x14ac:dyDescent="0.25">
      <c r="A20">
        <v>17</v>
      </c>
      <c r="B20" s="19" t="s">
        <v>37</v>
      </c>
      <c r="C20" s="19" t="s">
        <v>15</v>
      </c>
      <c r="D20" s="20" t="s">
        <v>34</v>
      </c>
      <c r="E20" s="20" t="s">
        <v>15</v>
      </c>
      <c r="F20" s="22" t="s">
        <v>27</v>
      </c>
      <c r="G20" s="22" t="s">
        <v>17</v>
      </c>
      <c r="H20" s="22" t="s">
        <v>134</v>
      </c>
      <c r="J20">
        <v>17</v>
      </c>
      <c r="K20" s="18" t="s">
        <v>129</v>
      </c>
      <c r="L20" s="18" t="s">
        <v>130</v>
      </c>
      <c r="M20" s="18" t="s">
        <v>149</v>
      </c>
    </row>
    <row r="21" spans="1:13" x14ac:dyDescent="0.25">
      <c r="A21">
        <v>18</v>
      </c>
      <c r="B21" s="19" t="s">
        <v>37</v>
      </c>
      <c r="C21" s="19" t="s">
        <v>15</v>
      </c>
      <c r="D21" s="20" t="s">
        <v>35</v>
      </c>
      <c r="E21" s="20" t="s">
        <v>15</v>
      </c>
      <c r="F21" s="22" t="s">
        <v>24</v>
      </c>
      <c r="G21" s="22" t="s">
        <v>17</v>
      </c>
      <c r="H21" s="22" t="s">
        <v>134</v>
      </c>
      <c r="J21">
        <v>18</v>
      </c>
      <c r="K21" s="18" t="s">
        <v>129</v>
      </c>
      <c r="L21" s="18" t="s">
        <v>130</v>
      </c>
      <c r="M21" s="18" t="s">
        <v>149</v>
      </c>
    </row>
    <row r="22" spans="1:13" x14ac:dyDescent="0.25">
      <c r="A22">
        <v>19</v>
      </c>
      <c r="B22" s="19" t="s">
        <v>37</v>
      </c>
      <c r="C22" s="19" t="s">
        <v>15</v>
      </c>
      <c r="D22" s="20" t="s">
        <v>34</v>
      </c>
      <c r="E22" s="20" t="s">
        <v>15</v>
      </c>
      <c r="F22" s="22" t="s">
        <v>24</v>
      </c>
      <c r="G22" s="22" t="s">
        <v>17</v>
      </c>
      <c r="H22" s="22" t="s">
        <v>134</v>
      </c>
      <c r="J22">
        <v>19</v>
      </c>
      <c r="K22" s="18" t="s">
        <v>129</v>
      </c>
      <c r="L22" s="18" t="s">
        <v>130</v>
      </c>
      <c r="M22" s="18" t="s">
        <v>149</v>
      </c>
    </row>
    <row r="23" spans="1:13" x14ac:dyDescent="0.25">
      <c r="A23">
        <v>21</v>
      </c>
      <c r="B23" s="19" t="s">
        <v>36</v>
      </c>
      <c r="C23" s="19" t="s">
        <v>7</v>
      </c>
      <c r="D23" s="20" t="s">
        <v>32</v>
      </c>
      <c r="E23" s="20" t="s">
        <v>7</v>
      </c>
      <c r="F23" s="22" t="s">
        <v>23</v>
      </c>
      <c r="G23" s="22" t="s">
        <v>136</v>
      </c>
      <c r="H23" s="22" t="s">
        <v>134</v>
      </c>
      <c r="J23">
        <v>21</v>
      </c>
      <c r="K23" s="18" t="s">
        <v>129</v>
      </c>
      <c r="L23" s="18" t="s">
        <v>130</v>
      </c>
      <c r="M23" s="18" t="s">
        <v>149</v>
      </c>
    </row>
    <row r="24" spans="1:13" x14ac:dyDescent="0.25">
      <c r="A24">
        <v>22</v>
      </c>
      <c r="B24" s="19" t="s">
        <v>37</v>
      </c>
      <c r="C24" s="19" t="s">
        <v>15</v>
      </c>
      <c r="D24" s="20" t="s">
        <v>35</v>
      </c>
      <c r="E24" s="20" t="s">
        <v>15</v>
      </c>
      <c r="F24" s="22" t="s">
        <v>29</v>
      </c>
      <c r="G24" s="22" t="s">
        <v>138</v>
      </c>
      <c r="H24" s="22" t="s">
        <v>134</v>
      </c>
      <c r="J24">
        <v>22</v>
      </c>
      <c r="K24" s="18" t="s">
        <v>129</v>
      </c>
      <c r="L24" s="18" t="s">
        <v>130</v>
      </c>
      <c r="M24" s="18" t="s">
        <v>149</v>
      </c>
    </row>
    <row r="25" spans="1:13" x14ac:dyDescent="0.25">
      <c r="A25">
        <v>23</v>
      </c>
      <c r="B25" s="19" t="s">
        <v>37</v>
      </c>
      <c r="C25" s="19" t="s">
        <v>15</v>
      </c>
      <c r="D25" s="20" t="s">
        <v>34</v>
      </c>
      <c r="E25" s="20" t="s">
        <v>15</v>
      </c>
      <c r="F25" s="22" t="s">
        <v>24</v>
      </c>
      <c r="G25" s="22" t="s">
        <v>17</v>
      </c>
      <c r="H25" s="22" t="s">
        <v>134</v>
      </c>
      <c r="J25">
        <v>23</v>
      </c>
      <c r="K25" s="18" t="s">
        <v>129</v>
      </c>
      <c r="L25" s="18" t="s">
        <v>130</v>
      </c>
      <c r="M25" s="18" t="s">
        <v>149</v>
      </c>
    </row>
    <row r="26" spans="1:13" x14ac:dyDescent="0.25">
      <c r="A26">
        <v>24</v>
      </c>
      <c r="B26" s="19" t="s">
        <v>37</v>
      </c>
      <c r="C26" s="19" t="s">
        <v>15</v>
      </c>
      <c r="D26" s="20" t="s">
        <v>34</v>
      </c>
      <c r="E26" s="20" t="s">
        <v>15</v>
      </c>
      <c r="F26" s="22" t="s">
        <v>27</v>
      </c>
      <c r="G26" s="22" t="s">
        <v>138</v>
      </c>
      <c r="H26" s="22" t="s">
        <v>134</v>
      </c>
      <c r="J26">
        <v>24</v>
      </c>
      <c r="K26" s="18" t="s">
        <v>129</v>
      </c>
      <c r="L26" s="18" t="s">
        <v>130</v>
      </c>
      <c r="M26" s="18" t="s">
        <v>149</v>
      </c>
    </row>
    <row r="27" spans="1:13" x14ac:dyDescent="0.25">
      <c r="A27">
        <v>25</v>
      </c>
      <c r="B27" s="19" t="s">
        <v>36</v>
      </c>
      <c r="C27" s="19" t="s">
        <v>7</v>
      </c>
      <c r="D27" s="20" t="s">
        <v>32</v>
      </c>
      <c r="E27" s="20" t="s">
        <v>7</v>
      </c>
      <c r="F27" s="22" t="s">
        <v>23</v>
      </c>
      <c r="G27" s="22" t="s">
        <v>135</v>
      </c>
      <c r="H27" s="22" t="s">
        <v>134</v>
      </c>
      <c r="J27">
        <v>25</v>
      </c>
      <c r="K27" s="18" t="s">
        <v>129</v>
      </c>
      <c r="L27" s="18" t="s">
        <v>130</v>
      </c>
      <c r="M27" s="18" t="s">
        <v>149</v>
      </c>
    </row>
    <row r="28" spans="1:13" x14ac:dyDescent="0.25">
      <c r="A28">
        <v>26</v>
      </c>
      <c r="B28" s="19" t="s">
        <v>36</v>
      </c>
      <c r="C28" s="19" t="s">
        <v>21</v>
      </c>
      <c r="D28" s="20" t="s">
        <v>32</v>
      </c>
      <c r="E28" s="20" t="s">
        <v>21</v>
      </c>
      <c r="F28" s="22" t="s">
        <v>24</v>
      </c>
      <c r="G28" s="22" t="s">
        <v>137</v>
      </c>
      <c r="H28" s="22" t="s">
        <v>134</v>
      </c>
      <c r="J28">
        <v>26</v>
      </c>
      <c r="K28" s="18" t="s">
        <v>129</v>
      </c>
      <c r="L28" s="18" t="s">
        <v>130</v>
      </c>
      <c r="M28" s="18" t="s">
        <v>149</v>
      </c>
    </row>
    <row r="29" spans="1:13" x14ac:dyDescent="0.25">
      <c r="A29">
        <v>27</v>
      </c>
      <c r="B29" s="19" t="s">
        <v>37</v>
      </c>
      <c r="C29" s="19" t="s">
        <v>15</v>
      </c>
      <c r="D29" s="20" t="s">
        <v>35</v>
      </c>
      <c r="E29" s="20" t="s">
        <v>15</v>
      </c>
      <c r="F29" s="22" t="s">
        <v>29</v>
      </c>
      <c r="G29" s="22" t="s">
        <v>20</v>
      </c>
      <c r="H29" s="22" t="s">
        <v>134</v>
      </c>
      <c r="J29">
        <v>27</v>
      </c>
      <c r="K29" s="18" t="s">
        <v>129</v>
      </c>
      <c r="L29" s="18" t="s">
        <v>130</v>
      </c>
      <c r="M29" s="18" t="s">
        <v>149</v>
      </c>
    </row>
    <row r="30" spans="1:13" x14ac:dyDescent="0.25">
      <c r="A30">
        <v>28</v>
      </c>
      <c r="B30" s="19" t="s">
        <v>37</v>
      </c>
      <c r="C30" s="19" t="s">
        <v>15</v>
      </c>
      <c r="D30" s="20" t="s">
        <v>35</v>
      </c>
      <c r="E30" s="20" t="s">
        <v>15</v>
      </c>
      <c r="F30" s="22" t="s">
        <v>29</v>
      </c>
      <c r="G30" s="22" t="s">
        <v>17</v>
      </c>
      <c r="H30" s="22" t="s">
        <v>134</v>
      </c>
      <c r="J30">
        <v>28</v>
      </c>
      <c r="K30" s="18" t="s">
        <v>129</v>
      </c>
      <c r="L30" s="18" t="s">
        <v>130</v>
      </c>
      <c r="M30" s="18" t="s">
        <v>149</v>
      </c>
    </row>
    <row r="31" spans="1:13" x14ac:dyDescent="0.25">
      <c r="A31">
        <v>29</v>
      </c>
      <c r="B31" s="19" t="s">
        <v>37</v>
      </c>
      <c r="C31" s="19" t="s">
        <v>15</v>
      </c>
      <c r="D31" s="20" t="s">
        <v>35</v>
      </c>
      <c r="E31" s="20" t="s">
        <v>15</v>
      </c>
      <c r="F31" s="22" t="s">
        <v>29</v>
      </c>
      <c r="G31" s="22" t="s">
        <v>20</v>
      </c>
      <c r="H31" s="22" t="s">
        <v>134</v>
      </c>
      <c r="J31">
        <v>29</v>
      </c>
      <c r="K31" s="18" t="s">
        <v>129</v>
      </c>
      <c r="L31" s="18" t="s">
        <v>130</v>
      </c>
      <c r="M31" s="18" t="s">
        <v>149</v>
      </c>
    </row>
    <row r="32" spans="1:13" x14ac:dyDescent="0.25">
      <c r="A32" s="9" t="s">
        <v>1</v>
      </c>
      <c r="B32" s="19" t="s">
        <v>36</v>
      </c>
      <c r="C32" s="19" t="s">
        <v>21</v>
      </c>
      <c r="D32" s="20" t="s">
        <v>32</v>
      </c>
      <c r="E32" s="20" t="s">
        <v>21</v>
      </c>
      <c r="F32" s="22" t="s">
        <v>24</v>
      </c>
      <c r="G32" s="22" t="s">
        <v>135</v>
      </c>
      <c r="H32" s="22" t="s">
        <v>134</v>
      </c>
      <c r="J32" s="9" t="s">
        <v>1</v>
      </c>
      <c r="K32" s="18" t="s">
        <v>129</v>
      </c>
      <c r="L32" s="18" t="s">
        <v>130</v>
      </c>
      <c r="M32" s="18" t="s">
        <v>149</v>
      </c>
    </row>
    <row r="33" spans="1:13" x14ac:dyDescent="0.25">
      <c r="A33" s="9" t="s">
        <v>2</v>
      </c>
      <c r="B33" s="19" t="s">
        <v>36</v>
      </c>
      <c r="C33" s="19" t="s">
        <v>21</v>
      </c>
      <c r="D33" s="20" t="s">
        <v>32</v>
      </c>
      <c r="E33" s="20" t="s">
        <v>21</v>
      </c>
      <c r="F33" s="22" t="s">
        <v>24</v>
      </c>
      <c r="G33" s="22" t="s">
        <v>135</v>
      </c>
      <c r="H33" s="22" t="s">
        <v>134</v>
      </c>
      <c r="J33" s="9" t="s">
        <v>2</v>
      </c>
      <c r="K33" s="18" t="s">
        <v>129</v>
      </c>
      <c r="L33" s="18" t="s">
        <v>130</v>
      </c>
      <c r="M33" s="18" t="s">
        <v>149</v>
      </c>
    </row>
    <row r="34" spans="1:13" x14ac:dyDescent="0.25">
      <c r="A34">
        <v>30</v>
      </c>
      <c r="B34" s="19" t="s">
        <v>37</v>
      </c>
      <c r="C34" s="19" t="s">
        <v>21</v>
      </c>
      <c r="D34" s="20" t="s">
        <v>32</v>
      </c>
      <c r="E34" s="20" t="s">
        <v>21</v>
      </c>
      <c r="F34" s="22" t="s">
        <v>24</v>
      </c>
      <c r="G34" s="22" t="s">
        <v>137</v>
      </c>
      <c r="H34" s="22" t="s">
        <v>134</v>
      </c>
      <c r="J34">
        <v>30</v>
      </c>
      <c r="K34" s="18" t="s">
        <v>129</v>
      </c>
      <c r="L34" s="18" t="s">
        <v>130</v>
      </c>
      <c r="M34" s="18" t="s">
        <v>149</v>
      </c>
    </row>
    <row r="35" spans="1:13" x14ac:dyDescent="0.25">
      <c r="A35">
        <v>31</v>
      </c>
      <c r="B35" s="19" t="s">
        <v>37</v>
      </c>
      <c r="C35" s="19" t="s">
        <v>21</v>
      </c>
      <c r="D35" s="20" t="s">
        <v>34</v>
      </c>
      <c r="E35" s="20" t="s">
        <v>21</v>
      </c>
      <c r="F35" s="22" t="s">
        <v>27</v>
      </c>
      <c r="G35" s="22" t="s">
        <v>138</v>
      </c>
      <c r="H35" s="22" t="s">
        <v>134</v>
      </c>
      <c r="J35">
        <v>31</v>
      </c>
      <c r="K35" s="18" t="s">
        <v>129</v>
      </c>
      <c r="L35" s="18" t="s">
        <v>130</v>
      </c>
      <c r="M35" s="18" t="s">
        <v>149</v>
      </c>
    </row>
    <row r="36" spans="1:13" x14ac:dyDescent="0.25">
      <c r="A36">
        <v>32</v>
      </c>
      <c r="B36" s="19" t="s">
        <v>37</v>
      </c>
      <c r="C36" s="19" t="s">
        <v>21</v>
      </c>
      <c r="D36" s="20" t="s">
        <v>34</v>
      </c>
      <c r="E36" s="20" t="s">
        <v>21</v>
      </c>
      <c r="F36" s="22" t="s">
        <v>27</v>
      </c>
      <c r="G36" s="22" t="s">
        <v>137</v>
      </c>
      <c r="H36" s="22" t="s">
        <v>134</v>
      </c>
      <c r="J36">
        <v>32</v>
      </c>
      <c r="K36" s="18" t="s">
        <v>129</v>
      </c>
      <c r="L36" s="18" t="s">
        <v>130</v>
      </c>
      <c r="M36" s="18" t="s">
        <v>149</v>
      </c>
    </row>
    <row r="37" spans="1:13" x14ac:dyDescent="0.25">
      <c r="A37">
        <v>33</v>
      </c>
      <c r="B37" s="19" t="s">
        <v>37</v>
      </c>
      <c r="C37" s="19" t="s">
        <v>21</v>
      </c>
      <c r="D37" s="20" t="s">
        <v>34</v>
      </c>
      <c r="E37" s="20" t="s">
        <v>21</v>
      </c>
      <c r="F37" s="22" t="s">
        <v>27</v>
      </c>
      <c r="G37" s="22" t="s">
        <v>137</v>
      </c>
      <c r="H37" s="22" t="s">
        <v>134</v>
      </c>
      <c r="J37">
        <v>33</v>
      </c>
      <c r="K37" s="18" t="s">
        <v>129</v>
      </c>
      <c r="L37" s="18" t="s">
        <v>130</v>
      </c>
      <c r="M37" s="18" t="s">
        <v>149</v>
      </c>
    </row>
    <row r="38" spans="1:13" x14ac:dyDescent="0.25">
      <c r="A38">
        <v>34</v>
      </c>
      <c r="B38" s="19" t="s">
        <v>37</v>
      </c>
      <c r="C38" s="19" t="s">
        <v>21</v>
      </c>
      <c r="D38" s="20" t="s">
        <v>34</v>
      </c>
      <c r="E38" s="20" t="s">
        <v>21</v>
      </c>
      <c r="F38" s="22" t="s">
        <v>24</v>
      </c>
      <c r="G38" s="22" t="s">
        <v>137</v>
      </c>
      <c r="H38" s="22" t="s">
        <v>134</v>
      </c>
      <c r="J38">
        <v>34</v>
      </c>
      <c r="K38" s="18" t="s">
        <v>129</v>
      </c>
      <c r="L38" s="18" t="s">
        <v>130</v>
      </c>
      <c r="M38" s="18" t="s">
        <v>149</v>
      </c>
    </row>
    <row r="39" spans="1:13" x14ac:dyDescent="0.25">
      <c r="A39">
        <v>35</v>
      </c>
      <c r="B39" s="19" t="s">
        <v>37</v>
      </c>
      <c r="C39" s="19" t="s">
        <v>15</v>
      </c>
      <c r="D39" s="20" t="s">
        <v>35</v>
      </c>
      <c r="E39" s="20" t="s">
        <v>15</v>
      </c>
      <c r="F39" s="22" t="s">
        <v>29</v>
      </c>
      <c r="G39" s="22" t="s">
        <v>20</v>
      </c>
      <c r="H39" s="22" t="s">
        <v>134</v>
      </c>
      <c r="J39">
        <v>35</v>
      </c>
      <c r="K39" s="18" t="s">
        <v>129</v>
      </c>
      <c r="L39" s="18" t="s">
        <v>130</v>
      </c>
      <c r="M39" s="18" t="s">
        <v>149</v>
      </c>
    </row>
    <row r="40" spans="1:13" x14ac:dyDescent="0.25">
      <c r="A40">
        <v>36</v>
      </c>
      <c r="B40" s="19" t="s">
        <v>37</v>
      </c>
      <c r="C40" s="19" t="s">
        <v>15</v>
      </c>
      <c r="D40" s="20" t="s">
        <v>35</v>
      </c>
      <c r="E40" s="20" t="s">
        <v>15</v>
      </c>
      <c r="F40" s="22" t="s">
        <v>29</v>
      </c>
      <c r="G40" s="22" t="s">
        <v>17</v>
      </c>
      <c r="H40" s="22" t="s">
        <v>134</v>
      </c>
      <c r="J40">
        <v>36</v>
      </c>
      <c r="K40" s="18" t="s">
        <v>129</v>
      </c>
      <c r="L40" s="18" t="s">
        <v>130</v>
      </c>
      <c r="M40" s="18" t="s">
        <v>149</v>
      </c>
    </row>
    <row r="41" spans="1:13" x14ac:dyDescent="0.25">
      <c r="A41">
        <v>37</v>
      </c>
      <c r="B41" s="19" t="s">
        <v>37</v>
      </c>
      <c r="C41" s="19" t="s">
        <v>15</v>
      </c>
      <c r="D41" s="20" t="s">
        <v>35</v>
      </c>
      <c r="E41" s="20" t="s">
        <v>15</v>
      </c>
      <c r="F41" s="22" t="s">
        <v>29</v>
      </c>
      <c r="G41" s="22" t="s">
        <v>17</v>
      </c>
      <c r="H41" s="22" t="s">
        <v>134</v>
      </c>
      <c r="J41">
        <v>37</v>
      </c>
      <c r="K41" s="18" t="s">
        <v>129</v>
      </c>
      <c r="L41" s="18" t="s">
        <v>130</v>
      </c>
      <c r="M41" s="18" t="s">
        <v>149</v>
      </c>
    </row>
    <row r="42" spans="1:13" x14ac:dyDescent="0.25">
      <c r="A42">
        <v>38</v>
      </c>
      <c r="B42" s="19" t="s">
        <v>36</v>
      </c>
      <c r="C42" s="19" t="s">
        <v>21</v>
      </c>
      <c r="D42" s="20" t="s">
        <v>32</v>
      </c>
      <c r="E42" s="20" t="s">
        <v>21</v>
      </c>
      <c r="F42" s="22" t="s">
        <v>23</v>
      </c>
      <c r="G42" s="22" t="s">
        <v>135</v>
      </c>
      <c r="H42" s="22" t="s">
        <v>134</v>
      </c>
      <c r="J42">
        <v>38</v>
      </c>
      <c r="K42" s="18" t="s">
        <v>129</v>
      </c>
      <c r="L42" s="18" t="s">
        <v>130</v>
      </c>
      <c r="M42" s="18" t="s">
        <v>149</v>
      </c>
    </row>
    <row r="43" spans="1:13" x14ac:dyDescent="0.25">
      <c r="A43">
        <v>39</v>
      </c>
      <c r="B43" s="19" t="s">
        <v>36</v>
      </c>
      <c r="C43" s="19" t="s">
        <v>7</v>
      </c>
      <c r="D43" s="20" t="s">
        <v>32</v>
      </c>
      <c r="E43" s="20" t="s">
        <v>7</v>
      </c>
      <c r="F43" s="22" t="s">
        <v>23</v>
      </c>
      <c r="G43" s="22" t="s">
        <v>135</v>
      </c>
      <c r="H43" s="22" t="s">
        <v>134</v>
      </c>
      <c r="J43">
        <v>39</v>
      </c>
      <c r="K43" s="18" t="s">
        <v>129</v>
      </c>
      <c r="L43" s="18" t="s">
        <v>130</v>
      </c>
      <c r="M43" s="18" t="s">
        <v>149</v>
      </c>
    </row>
    <row r="44" spans="1:13" x14ac:dyDescent="0.25">
      <c r="A44">
        <v>40</v>
      </c>
      <c r="B44" s="19" t="s">
        <v>37</v>
      </c>
      <c r="C44" s="19" t="s">
        <v>21</v>
      </c>
      <c r="D44" s="20" t="s">
        <v>34</v>
      </c>
      <c r="E44" s="20" t="s">
        <v>21</v>
      </c>
      <c r="F44" s="22" t="s">
        <v>27</v>
      </c>
      <c r="G44" s="22" t="s">
        <v>137</v>
      </c>
      <c r="H44" s="22" t="s">
        <v>134</v>
      </c>
      <c r="J44">
        <v>40</v>
      </c>
      <c r="K44" s="18" t="s">
        <v>129</v>
      </c>
      <c r="L44" s="18" t="s">
        <v>130</v>
      </c>
      <c r="M44" s="18" t="s">
        <v>149</v>
      </c>
    </row>
    <row r="45" spans="1:13" x14ac:dyDescent="0.25">
      <c r="A45">
        <v>41</v>
      </c>
      <c r="B45" s="19" t="s">
        <v>37</v>
      </c>
      <c r="C45" s="19" t="s">
        <v>15</v>
      </c>
      <c r="D45" s="20" t="s">
        <v>35</v>
      </c>
      <c r="E45" s="20" t="s">
        <v>15</v>
      </c>
      <c r="F45" s="22" t="s">
        <v>29</v>
      </c>
      <c r="G45" s="22" t="s">
        <v>17</v>
      </c>
      <c r="H45" s="22" t="s">
        <v>134</v>
      </c>
      <c r="J45">
        <v>41</v>
      </c>
      <c r="K45" s="18" t="s">
        <v>129</v>
      </c>
      <c r="L45" s="18" t="s">
        <v>130</v>
      </c>
      <c r="M45" s="18" t="s">
        <v>149</v>
      </c>
    </row>
    <row r="46" spans="1:13" x14ac:dyDescent="0.25">
      <c r="A46">
        <v>42</v>
      </c>
      <c r="B46" s="19" t="s">
        <v>36</v>
      </c>
      <c r="C46" s="19" t="s">
        <v>15</v>
      </c>
      <c r="D46" s="20" t="s">
        <v>34</v>
      </c>
      <c r="E46" s="20" t="s">
        <v>15</v>
      </c>
      <c r="F46" s="22" t="s">
        <v>24</v>
      </c>
      <c r="G46" s="22" t="s">
        <v>136</v>
      </c>
      <c r="H46" s="22" t="s">
        <v>134</v>
      </c>
      <c r="J46">
        <v>42</v>
      </c>
      <c r="K46" s="18" t="s">
        <v>129</v>
      </c>
      <c r="L46" s="18" t="s">
        <v>130</v>
      </c>
      <c r="M46" s="18" t="s">
        <v>149</v>
      </c>
    </row>
    <row r="47" spans="1:13" x14ac:dyDescent="0.25">
      <c r="A47">
        <v>43</v>
      </c>
      <c r="B47" s="19" t="s">
        <v>36</v>
      </c>
      <c r="C47" s="19" t="s">
        <v>21</v>
      </c>
      <c r="D47" s="20" t="s">
        <v>34</v>
      </c>
      <c r="E47" s="20" t="s">
        <v>21</v>
      </c>
      <c r="F47" s="22" t="s">
        <v>24</v>
      </c>
      <c r="G47" s="22" t="s">
        <v>138</v>
      </c>
      <c r="H47" s="22" t="s">
        <v>134</v>
      </c>
      <c r="J47">
        <v>43</v>
      </c>
      <c r="K47" s="18" t="s">
        <v>129</v>
      </c>
      <c r="L47" s="18" t="s">
        <v>130</v>
      </c>
      <c r="M47" s="18" t="s">
        <v>149</v>
      </c>
    </row>
    <row r="48" spans="1:13" x14ac:dyDescent="0.25">
      <c r="A48">
        <v>44</v>
      </c>
      <c r="B48" s="19" t="s">
        <v>37</v>
      </c>
      <c r="C48" s="19" t="s">
        <v>15</v>
      </c>
      <c r="D48" s="20" t="s">
        <v>35</v>
      </c>
      <c r="E48" s="20" t="s">
        <v>15</v>
      </c>
      <c r="F48" s="22" t="s">
        <v>29</v>
      </c>
      <c r="G48" s="22" t="s">
        <v>138</v>
      </c>
      <c r="H48" s="22" t="s">
        <v>134</v>
      </c>
      <c r="J48">
        <v>44</v>
      </c>
      <c r="K48" s="18" t="s">
        <v>129</v>
      </c>
      <c r="L48" s="18" t="s">
        <v>130</v>
      </c>
      <c r="M48" s="18" t="s">
        <v>149</v>
      </c>
    </row>
    <row r="49" spans="1:13" x14ac:dyDescent="0.25">
      <c r="A49">
        <v>45</v>
      </c>
      <c r="B49" s="19" t="s">
        <v>37</v>
      </c>
      <c r="C49" s="19" t="s">
        <v>15</v>
      </c>
      <c r="D49" s="20" t="s">
        <v>35</v>
      </c>
      <c r="E49" s="20" t="s">
        <v>15</v>
      </c>
      <c r="F49" s="22" t="s">
        <v>23</v>
      </c>
      <c r="G49" s="22" t="s">
        <v>136</v>
      </c>
      <c r="H49" s="22" t="s">
        <v>134</v>
      </c>
      <c r="J49">
        <v>45</v>
      </c>
      <c r="K49" s="18" t="s">
        <v>129</v>
      </c>
      <c r="L49" s="18" t="s">
        <v>130</v>
      </c>
      <c r="M49" s="18" t="s">
        <v>149</v>
      </c>
    </row>
    <row r="50" spans="1:13" x14ac:dyDescent="0.25">
      <c r="A50">
        <v>46</v>
      </c>
      <c r="B50" s="19" t="s">
        <v>37</v>
      </c>
      <c r="C50" s="19" t="s">
        <v>21</v>
      </c>
      <c r="D50" s="20" t="s">
        <v>34</v>
      </c>
      <c r="E50" s="20" t="s">
        <v>21</v>
      </c>
      <c r="F50" s="22" t="s">
        <v>24</v>
      </c>
      <c r="G50" s="22" t="s">
        <v>138</v>
      </c>
      <c r="H50" s="22" t="s">
        <v>134</v>
      </c>
      <c r="J50">
        <v>46</v>
      </c>
      <c r="K50" s="18" t="s">
        <v>129</v>
      </c>
      <c r="L50" s="18" t="s">
        <v>130</v>
      </c>
      <c r="M50" s="18" t="s">
        <v>149</v>
      </c>
    </row>
    <row r="51" spans="1:13" x14ac:dyDescent="0.25">
      <c r="A51">
        <v>47</v>
      </c>
      <c r="B51" s="19" t="s">
        <v>37</v>
      </c>
      <c r="C51" s="19" t="s">
        <v>21</v>
      </c>
      <c r="D51" s="20" t="s">
        <v>34</v>
      </c>
      <c r="E51" s="20" t="s">
        <v>21</v>
      </c>
      <c r="F51" s="22" t="s">
        <v>27</v>
      </c>
      <c r="G51" s="22" t="s">
        <v>137</v>
      </c>
      <c r="H51" s="22" t="s">
        <v>134</v>
      </c>
      <c r="J51">
        <v>47</v>
      </c>
      <c r="K51" s="18" t="s">
        <v>129</v>
      </c>
      <c r="L51" s="18" t="s">
        <v>130</v>
      </c>
      <c r="M51" s="18" t="s">
        <v>149</v>
      </c>
    </row>
    <row r="52" spans="1:13" x14ac:dyDescent="0.25">
      <c r="A52">
        <v>48</v>
      </c>
      <c r="B52" s="19" t="s">
        <v>37</v>
      </c>
      <c r="C52" s="19" t="s">
        <v>21</v>
      </c>
      <c r="D52" s="20" t="s">
        <v>34</v>
      </c>
      <c r="E52" s="20" t="s">
        <v>21</v>
      </c>
      <c r="F52" s="22" t="s">
        <v>24</v>
      </c>
      <c r="G52" s="22" t="s">
        <v>137</v>
      </c>
      <c r="H52" s="22" t="s">
        <v>134</v>
      </c>
      <c r="J52">
        <v>48</v>
      </c>
      <c r="K52" s="18" t="s">
        <v>129</v>
      </c>
      <c r="L52" s="18" t="s">
        <v>130</v>
      </c>
      <c r="M52" s="18" t="s">
        <v>149</v>
      </c>
    </row>
    <row r="53" spans="1:13" x14ac:dyDescent="0.25">
      <c r="A53">
        <v>49</v>
      </c>
      <c r="B53" s="19" t="s">
        <v>37</v>
      </c>
      <c r="C53" s="19" t="s">
        <v>15</v>
      </c>
      <c r="D53" s="20" t="s">
        <v>35</v>
      </c>
      <c r="E53" s="20" t="s">
        <v>15</v>
      </c>
      <c r="F53" s="22" t="s">
        <v>29</v>
      </c>
      <c r="G53" s="22" t="s">
        <v>138</v>
      </c>
      <c r="H53" s="22" t="s">
        <v>134</v>
      </c>
      <c r="J53">
        <v>49</v>
      </c>
      <c r="K53" s="18" t="s">
        <v>129</v>
      </c>
      <c r="L53" s="18" t="s">
        <v>130</v>
      </c>
      <c r="M53" s="18" t="s">
        <v>149</v>
      </c>
    </row>
    <row r="54" spans="1:13" x14ac:dyDescent="0.25">
      <c r="A54">
        <v>50</v>
      </c>
      <c r="B54" s="19" t="s">
        <v>37</v>
      </c>
      <c r="C54" s="19" t="s">
        <v>15</v>
      </c>
      <c r="D54" s="20" t="s">
        <v>35</v>
      </c>
      <c r="E54" s="20" t="s">
        <v>15</v>
      </c>
      <c r="F54" s="22" t="s">
        <v>29</v>
      </c>
      <c r="G54" s="22" t="s">
        <v>138</v>
      </c>
      <c r="H54" s="22" t="s">
        <v>134</v>
      </c>
      <c r="J54">
        <v>50</v>
      </c>
      <c r="K54" s="18" t="s">
        <v>129</v>
      </c>
      <c r="L54" s="18" t="s">
        <v>130</v>
      </c>
      <c r="M54" s="18" t="s">
        <v>149</v>
      </c>
    </row>
    <row r="55" spans="1:13" x14ac:dyDescent="0.25">
      <c r="A55">
        <v>51</v>
      </c>
      <c r="B55" s="19" t="s">
        <v>36</v>
      </c>
      <c r="C55" s="19" t="s">
        <v>7</v>
      </c>
      <c r="D55" s="20" t="s">
        <v>35</v>
      </c>
      <c r="E55" s="20" t="s">
        <v>7</v>
      </c>
      <c r="F55" s="22" t="s">
        <v>23</v>
      </c>
      <c r="G55" s="22" t="s">
        <v>136</v>
      </c>
      <c r="H55" s="22" t="s">
        <v>134</v>
      </c>
      <c r="J55">
        <v>51</v>
      </c>
      <c r="K55" s="18" t="s">
        <v>129</v>
      </c>
      <c r="L55" s="18" t="s">
        <v>130</v>
      </c>
      <c r="M55" s="18" t="s">
        <v>149</v>
      </c>
    </row>
    <row r="56" spans="1:13" x14ac:dyDescent="0.25">
      <c r="A56">
        <v>52</v>
      </c>
      <c r="B56" s="19" t="s">
        <v>36</v>
      </c>
      <c r="C56" s="19" t="s">
        <v>7</v>
      </c>
      <c r="D56" s="20" t="s">
        <v>35</v>
      </c>
      <c r="E56" s="20" t="s">
        <v>7</v>
      </c>
      <c r="F56" s="22" t="s">
        <v>23</v>
      </c>
      <c r="G56" s="22" t="s">
        <v>8</v>
      </c>
      <c r="H56" s="22" t="s">
        <v>134</v>
      </c>
      <c r="J56">
        <v>52</v>
      </c>
      <c r="K56" s="18" t="s">
        <v>129</v>
      </c>
      <c r="L56" s="18" t="s">
        <v>130</v>
      </c>
      <c r="M56" s="18" t="s">
        <v>149</v>
      </c>
    </row>
    <row r="57" spans="1:13" x14ac:dyDescent="0.25">
      <c r="A57">
        <v>53</v>
      </c>
      <c r="B57" s="19" t="s">
        <v>37</v>
      </c>
      <c r="C57" s="19" t="s">
        <v>15</v>
      </c>
      <c r="D57" s="20" t="s">
        <v>35</v>
      </c>
      <c r="E57" s="20" t="s">
        <v>15</v>
      </c>
      <c r="F57" s="22" t="s">
        <v>29</v>
      </c>
      <c r="G57" s="22" t="s">
        <v>138</v>
      </c>
      <c r="H57" s="22" t="s">
        <v>134</v>
      </c>
      <c r="J57">
        <v>53</v>
      </c>
      <c r="K57" s="18" t="s">
        <v>129</v>
      </c>
      <c r="L57" s="18" t="s">
        <v>130</v>
      </c>
      <c r="M57" s="18" t="s">
        <v>149</v>
      </c>
    </row>
    <row r="58" spans="1:13" x14ac:dyDescent="0.25">
      <c r="A58">
        <v>54</v>
      </c>
      <c r="B58" s="19" t="s">
        <v>36</v>
      </c>
      <c r="C58" s="19" t="s">
        <v>7</v>
      </c>
      <c r="D58" s="20" t="s">
        <v>35</v>
      </c>
      <c r="E58" s="20" t="s">
        <v>7</v>
      </c>
      <c r="F58" s="22" t="s">
        <v>139</v>
      </c>
      <c r="G58" s="22" t="s">
        <v>8</v>
      </c>
      <c r="H58" s="22" t="s">
        <v>134</v>
      </c>
      <c r="J58">
        <v>54</v>
      </c>
      <c r="K58" s="18" t="s">
        <v>129</v>
      </c>
      <c r="L58" s="18" t="s">
        <v>130</v>
      </c>
      <c r="M58" s="18" t="s">
        <v>149</v>
      </c>
    </row>
    <row r="59" spans="1:13" x14ac:dyDescent="0.25">
      <c r="A59">
        <v>55</v>
      </c>
      <c r="B59" s="19" t="s">
        <v>36</v>
      </c>
      <c r="C59" s="19" t="s">
        <v>7</v>
      </c>
      <c r="D59" s="20" t="s">
        <v>35</v>
      </c>
      <c r="E59" s="20" t="s">
        <v>7</v>
      </c>
      <c r="F59" s="22" t="s">
        <v>139</v>
      </c>
      <c r="G59" s="22" t="s">
        <v>8</v>
      </c>
      <c r="H59" s="22" t="s">
        <v>134</v>
      </c>
      <c r="J59">
        <v>55</v>
      </c>
      <c r="K59" s="18" t="s">
        <v>129</v>
      </c>
      <c r="L59" s="18" t="s">
        <v>130</v>
      </c>
      <c r="M59" s="18" t="s">
        <v>149</v>
      </c>
    </row>
    <row r="60" spans="1:13" x14ac:dyDescent="0.25">
      <c r="A60">
        <v>56</v>
      </c>
      <c r="B60" s="19" t="s">
        <v>37</v>
      </c>
      <c r="C60" s="19" t="s">
        <v>15</v>
      </c>
      <c r="D60" s="20" t="s">
        <v>35</v>
      </c>
      <c r="E60" s="20" t="s">
        <v>15</v>
      </c>
      <c r="F60" s="22" t="s">
        <v>29</v>
      </c>
      <c r="G60" s="22" t="s">
        <v>20</v>
      </c>
      <c r="H60" s="22" t="s">
        <v>134</v>
      </c>
      <c r="J60">
        <v>56</v>
      </c>
      <c r="K60" s="18" t="s">
        <v>129</v>
      </c>
      <c r="L60" s="18" t="s">
        <v>130</v>
      </c>
      <c r="M60" s="18" t="s">
        <v>149</v>
      </c>
    </row>
    <row r="61" spans="1:13" x14ac:dyDescent="0.25">
      <c r="A61">
        <v>57</v>
      </c>
      <c r="B61" s="19" t="s">
        <v>36</v>
      </c>
      <c r="C61" s="19" t="s">
        <v>7</v>
      </c>
      <c r="D61" s="20" t="s">
        <v>35</v>
      </c>
      <c r="E61" s="20" t="s">
        <v>7</v>
      </c>
      <c r="F61" s="22" t="s">
        <v>139</v>
      </c>
      <c r="G61" s="22" t="s">
        <v>8</v>
      </c>
      <c r="H61" s="22" t="s">
        <v>134</v>
      </c>
      <c r="J61">
        <v>57</v>
      </c>
      <c r="K61" s="18" t="s">
        <v>129</v>
      </c>
      <c r="L61" s="18" t="s">
        <v>130</v>
      </c>
      <c r="M61" s="18" t="s">
        <v>149</v>
      </c>
    </row>
    <row r="62" spans="1:13" x14ac:dyDescent="0.25">
      <c r="A62">
        <v>58</v>
      </c>
      <c r="B62" s="19" t="s">
        <v>36</v>
      </c>
      <c r="C62" s="19" t="s">
        <v>7</v>
      </c>
      <c r="D62" s="20" t="s">
        <v>32</v>
      </c>
      <c r="E62" s="20" t="s">
        <v>7</v>
      </c>
      <c r="F62" s="22" t="s">
        <v>23</v>
      </c>
      <c r="G62" s="22" t="s">
        <v>138</v>
      </c>
      <c r="H62" s="22" t="s">
        <v>134</v>
      </c>
      <c r="J62">
        <v>58</v>
      </c>
      <c r="K62" s="18" t="s">
        <v>129</v>
      </c>
      <c r="L62" s="18" t="s">
        <v>130</v>
      </c>
      <c r="M62" s="18" t="s">
        <v>149</v>
      </c>
    </row>
    <row r="63" spans="1:13" x14ac:dyDescent="0.25">
      <c r="A63">
        <v>59</v>
      </c>
      <c r="B63" s="19" t="s">
        <v>36</v>
      </c>
      <c r="C63" s="19" t="s">
        <v>7</v>
      </c>
      <c r="D63" s="20" t="s">
        <v>35</v>
      </c>
      <c r="E63" s="20" t="s">
        <v>7</v>
      </c>
      <c r="F63" s="22" t="s">
        <v>27</v>
      </c>
      <c r="G63" s="22" t="s">
        <v>20</v>
      </c>
      <c r="H63" s="22" t="s">
        <v>134</v>
      </c>
      <c r="J63">
        <v>59</v>
      </c>
      <c r="K63" s="18" t="s">
        <v>129</v>
      </c>
      <c r="L63" s="18" t="s">
        <v>130</v>
      </c>
      <c r="M63" s="18" t="s">
        <v>149</v>
      </c>
    </row>
    <row r="64" spans="1:13" x14ac:dyDescent="0.25">
      <c r="A64">
        <v>60</v>
      </c>
      <c r="B64" s="19" t="s">
        <v>36</v>
      </c>
      <c r="C64" s="19" t="s">
        <v>7</v>
      </c>
      <c r="D64" s="20" t="s">
        <v>35</v>
      </c>
      <c r="E64" s="20" t="s">
        <v>7</v>
      </c>
      <c r="F64" s="22" t="s">
        <v>27</v>
      </c>
      <c r="G64" s="22" t="s">
        <v>135</v>
      </c>
      <c r="H64" s="22" t="s">
        <v>134</v>
      </c>
      <c r="J64">
        <v>60</v>
      </c>
      <c r="K64" s="18" t="s">
        <v>129</v>
      </c>
      <c r="L64" s="18" t="s">
        <v>130</v>
      </c>
      <c r="M64" s="18" t="s">
        <v>149</v>
      </c>
    </row>
    <row r="65" spans="1:13" x14ac:dyDescent="0.25">
      <c r="A65">
        <v>61</v>
      </c>
      <c r="B65" s="19" t="s">
        <v>37</v>
      </c>
      <c r="C65" s="19" t="s">
        <v>15</v>
      </c>
      <c r="D65" s="20" t="s">
        <v>35</v>
      </c>
      <c r="E65" s="20" t="s">
        <v>15</v>
      </c>
      <c r="F65" s="22" t="s">
        <v>29</v>
      </c>
      <c r="G65" s="22" t="s">
        <v>20</v>
      </c>
      <c r="H65" s="22" t="s">
        <v>134</v>
      </c>
      <c r="J65">
        <v>61</v>
      </c>
      <c r="K65" s="18" t="s">
        <v>129</v>
      </c>
      <c r="L65" s="18" t="s">
        <v>130</v>
      </c>
      <c r="M65" s="18" t="s">
        <v>149</v>
      </c>
    </row>
    <row r="66" spans="1:13" x14ac:dyDescent="0.25">
      <c r="A66">
        <v>62</v>
      </c>
      <c r="B66" s="19" t="s">
        <v>36</v>
      </c>
      <c r="C66" s="19" t="s">
        <v>7</v>
      </c>
      <c r="D66" s="20" t="s">
        <v>35</v>
      </c>
      <c r="E66" s="20" t="s">
        <v>7</v>
      </c>
      <c r="F66" s="22" t="s">
        <v>27</v>
      </c>
      <c r="G66" s="22" t="s">
        <v>20</v>
      </c>
      <c r="H66" s="22" t="s">
        <v>134</v>
      </c>
      <c r="J66">
        <v>62</v>
      </c>
      <c r="K66" s="18" t="s">
        <v>129</v>
      </c>
      <c r="L66" s="18" t="s">
        <v>130</v>
      </c>
      <c r="M66" s="18" t="s">
        <v>149</v>
      </c>
    </row>
    <row r="67" spans="1:13" x14ac:dyDescent="0.25">
      <c r="A67">
        <v>63</v>
      </c>
      <c r="B67" s="19" t="s">
        <v>36</v>
      </c>
      <c r="C67" s="19" t="s">
        <v>15</v>
      </c>
      <c r="D67" s="20" t="s">
        <v>34</v>
      </c>
      <c r="E67" s="20" t="s">
        <v>15</v>
      </c>
      <c r="F67" s="22" t="s">
        <v>24</v>
      </c>
      <c r="G67" s="22" t="s">
        <v>138</v>
      </c>
      <c r="H67" s="22" t="s">
        <v>134</v>
      </c>
      <c r="J67">
        <v>63</v>
      </c>
      <c r="K67" s="18" t="s">
        <v>129</v>
      </c>
      <c r="L67" s="18" t="s">
        <v>130</v>
      </c>
      <c r="M67" s="18" t="s">
        <v>149</v>
      </c>
    </row>
    <row r="68" spans="1:13" x14ac:dyDescent="0.25">
      <c r="A68">
        <v>64</v>
      </c>
      <c r="B68" s="19" t="s">
        <v>37</v>
      </c>
      <c r="C68" s="19" t="s">
        <v>21</v>
      </c>
      <c r="D68" s="20" t="s">
        <v>34</v>
      </c>
      <c r="E68" s="20" t="s">
        <v>21</v>
      </c>
      <c r="F68" s="22" t="s">
        <v>27</v>
      </c>
      <c r="G68" s="22" t="s">
        <v>137</v>
      </c>
      <c r="H68" s="22" t="s">
        <v>134</v>
      </c>
      <c r="J68">
        <v>64</v>
      </c>
      <c r="K68" s="18" t="s">
        <v>129</v>
      </c>
      <c r="L68" s="18" t="s">
        <v>130</v>
      </c>
      <c r="M68" s="18" t="s">
        <v>149</v>
      </c>
    </row>
    <row r="69" spans="1:13" x14ac:dyDescent="0.25">
      <c r="A69">
        <v>65</v>
      </c>
      <c r="B69" s="19" t="s">
        <v>37</v>
      </c>
      <c r="C69" s="19" t="s">
        <v>21</v>
      </c>
      <c r="D69" s="20" t="s">
        <v>34</v>
      </c>
      <c r="E69" s="20" t="s">
        <v>21</v>
      </c>
      <c r="F69" s="22" t="s">
        <v>27</v>
      </c>
      <c r="G69" s="22" t="s">
        <v>137</v>
      </c>
      <c r="H69" s="22" t="s">
        <v>134</v>
      </c>
      <c r="J69">
        <v>65</v>
      </c>
      <c r="K69" s="18" t="s">
        <v>129</v>
      </c>
      <c r="L69" s="18" t="s">
        <v>130</v>
      </c>
      <c r="M69" s="18" t="s">
        <v>149</v>
      </c>
    </row>
    <row r="70" spans="1:13" x14ac:dyDescent="0.25">
      <c r="A70">
        <v>66</v>
      </c>
      <c r="B70" s="19" t="s">
        <v>37</v>
      </c>
      <c r="C70" s="19" t="s">
        <v>21</v>
      </c>
      <c r="D70" s="20" t="s">
        <v>34</v>
      </c>
      <c r="E70" s="20" t="s">
        <v>21</v>
      </c>
      <c r="F70" s="22" t="s">
        <v>27</v>
      </c>
      <c r="G70" s="22" t="s">
        <v>137</v>
      </c>
      <c r="H70" s="22" t="s">
        <v>134</v>
      </c>
      <c r="J70">
        <v>66</v>
      </c>
      <c r="K70" s="18" t="s">
        <v>129</v>
      </c>
      <c r="L70" s="18" t="s">
        <v>130</v>
      </c>
      <c r="M70" s="18" t="s">
        <v>149</v>
      </c>
    </row>
    <row r="71" spans="1:13" x14ac:dyDescent="0.25">
      <c r="A71">
        <v>67</v>
      </c>
      <c r="B71" s="19" t="s">
        <v>36</v>
      </c>
      <c r="C71" s="19" t="s">
        <v>7</v>
      </c>
      <c r="D71" s="20" t="s">
        <v>35</v>
      </c>
      <c r="E71" s="20" t="s">
        <v>7</v>
      </c>
      <c r="F71" s="22" t="s">
        <v>139</v>
      </c>
      <c r="G71" s="22" t="s">
        <v>8</v>
      </c>
      <c r="H71" s="22" t="s">
        <v>134</v>
      </c>
      <c r="J71">
        <v>67</v>
      </c>
      <c r="K71" s="18" t="s">
        <v>129</v>
      </c>
      <c r="L71" s="18" t="s">
        <v>130</v>
      </c>
      <c r="M71" s="18" t="s">
        <v>149</v>
      </c>
    </row>
    <row r="72" spans="1:13" x14ac:dyDescent="0.25">
      <c r="A72">
        <v>68</v>
      </c>
      <c r="B72" s="19" t="s">
        <v>36</v>
      </c>
      <c r="C72" s="19" t="s">
        <v>7</v>
      </c>
      <c r="D72" s="20" t="s">
        <v>35</v>
      </c>
      <c r="E72" s="20" t="s">
        <v>7</v>
      </c>
      <c r="F72" s="22" t="s">
        <v>139</v>
      </c>
      <c r="G72" s="22" t="s">
        <v>8</v>
      </c>
      <c r="H72" s="22" t="s">
        <v>134</v>
      </c>
      <c r="J72">
        <v>68</v>
      </c>
      <c r="K72" s="18" t="s">
        <v>129</v>
      </c>
      <c r="L72" s="18" t="s">
        <v>130</v>
      </c>
      <c r="M72" s="18" t="s">
        <v>149</v>
      </c>
    </row>
    <row r="73" spans="1:13" x14ac:dyDescent="0.25">
      <c r="A73">
        <v>69</v>
      </c>
      <c r="B73" s="19" t="s">
        <v>36</v>
      </c>
      <c r="C73" s="19" t="s">
        <v>7</v>
      </c>
      <c r="D73" s="20" t="s">
        <v>32</v>
      </c>
      <c r="E73" s="20" t="s">
        <v>7</v>
      </c>
      <c r="F73" s="22" t="s">
        <v>23</v>
      </c>
      <c r="G73" s="22" t="s">
        <v>136</v>
      </c>
      <c r="H73" s="22" t="s">
        <v>134</v>
      </c>
      <c r="J73">
        <v>69</v>
      </c>
      <c r="K73" s="18" t="s">
        <v>129</v>
      </c>
      <c r="L73" s="18" t="s">
        <v>130</v>
      </c>
      <c r="M73" s="18" t="s">
        <v>149</v>
      </c>
    </row>
    <row r="74" spans="1:13" x14ac:dyDescent="0.25">
      <c r="A74">
        <v>70</v>
      </c>
      <c r="B74" s="19" t="s">
        <v>36</v>
      </c>
      <c r="C74" s="19" t="s">
        <v>7</v>
      </c>
      <c r="D74" s="20" t="s">
        <v>32</v>
      </c>
      <c r="E74" s="20" t="s">
        <v>7</v>
      </c>
      <c r="F74" s="22" t="s">
        <v>139</v>
      </c>
      <c r="G74" s="22" t="s">
        <v>135</v>
      </c>
      <c r="H74" s="22" t="s">
        <v>134</v>
      </c>
      <c r="J74">
        <v>70</v>
      </c>
      <c r="K74" s="18" t="s">
        <v>129</v>
      </c>
      <c r="L74" s="18" t="s">
        <v>130</v>
      </c>
      <c r="M74" s="18" t="s">
        <v>149</v>
      </c>
    </row>
    <row r="75" spans="1:13" x14ac:dyDescent="0.25">
      <c r="A75">
        <v>71</v>
      </c>
      <c r="B75" s="19" t="s">
        <v>36</v>
      </c>
      <c r="C75" s="19" t="s">
        <v>7</v>
      </c>
      <c r="D75" s="20" t="s">
        <v>32</v>
      </c>
      <c r="E75" s="20" t="s">
        <v>7</v>
      </c>
      <c r="F75" s="22" t="s">
        <v>23</v>
      </c>
      <c r="G75" s="22" t="s">
        <v>136</v>
      </c>
      <c r="H75" s="22" t="s">
        <v>134</v>
      </c>
      <c r="J75">
        <v>71</v>
      </c>
      <c r="K75" s="18" t="s">
        <v>129</v>
      </c>
      <c r="L75" s="18" t="s">
        <v>130</v>
      </c>
      <c r="M75" s="18" t="s">
        <v>149</v>
      </c>
    </row>
    <row r="76" spans="1:13" x14ac:dyDescent="0.25">
      <c r="A76">
        <v>72</v>
      </c>
      <c r="B76" s="19" t="s">
        <v>37</v>
      </c>
      <c r="C76" s="19" t="s">
        <v>15</v>
      </c>
      <c r="D76" s="20" t="s">
        <v>35</v>
      </c>
      <c r="E76" s="20" t="s">
        <v>15</v>
      </c>
      <c r="F76" s="22" t="s">
        <v>29</v>
      </c>
      <c r="G76" s="22" t="s">
        <v>138</v>
      </c>
      <c r="H76" s="22" t="s">
        <v>134</v>
      </c>
      <c r="J76">
        <v>72</v>
      </c>
      <c r="K76" s="18" t="s">
        <v>129</v>
      </c>
      <c r="L76" s="18" t="s">
        <v>130</v>
      </c>
      <c r="M76" s="18" t="s">
        <v>149</v>
      </c>
    </row>
    <row r="77" spans="1:13" x14ac:dyDescent="0.25">
      <c r="A77">
        <v>73</v>
      </c>
      <c r="B77" s="19" t="s">
        <v>36</v>
      </c>
      <c r="C77" s="19" t="s">
        <v>21</v>
      </c>
      <c r="D77" s="20" t="s">
        <v>32</v>
      </c>
      <c r="E77" s="20" t="s">
        <v>21</v>
      </c>
      <c r="F77" s="22" t="s">
        <v>24</v>
      </c>
      <c r="G77" s="22" t="s">
        <v>135</v>
      </c>
      <c r="H77" s="22" t="s">
        <v>134</v>
      </c>
      <c r="J77">
        <v>73</v>
      </c>
      <c r="K77" s="18" t="s">
        <v>129</v>
      </c>
      <c r="L77" s="18" t="s">
        <v>130</v>
      </c>
      <c r="M77" s="18" t="s">
        <v>149</v>
      </c>
    </row>
    <row r="78" spans="1:13" x14ac:dyDescent="0.25">
      <c r="A78">
        <v>74</v>
      </c>
      <c r="B78" s="19" t="s">
        <v>36</v>
      </c>
      <c r="C78" s="19" t="s">
        <v>21</v>
      </c>
      <c r="D78" s="20" t="s">
        <v>32</v>
      </c>
      <c r="E78" s="20" t="s">
        <v>21</v>
      </c>
      <c r="F78" s="22" t="s">
        <v>24</v>
      </c>
      <c r="G78" s="22" t="s">
        <v>135</v>
      </c>
      <c r="H78" s="22" t="s">
        <v>134</v>
      </c>
      <c r="J78">
        <v>74</v>
      </c>
      <c r="K78" s="18" t="s">
        <v>129</v>
      </c>
      <c r="L78" s="18" t="s">
        <v>130</v>
      </c>
      <c r="M78" s="18" t="s">
        <v>149</v>
      </c>
    </row>
    <row r="79" spans="1:13" x14ac:dyDescent="0.25">
      <c r="A79">
        <v>75</v>
      </c>
      <c r="B79" s="19" t="s">
        <v>37</v>
      </c>
      <c r="C79" s="19" t="s">
        <v>7</v>
      </c>
      <c r="D79" s="20" t="s">
        <v>35</v>
      </c>
      <c r="E79" s="20" t="s">
        <v>7</v>
      </c>
      <c r="F79" s="22" t="s">
        <v>27</v>
      </c>
      <c r="G79" s="22" t="s">
        <v>17</v>
      </c>
      <c r="H79" s="22" t="s">
        <v>134</v>
      </c>
      <c r="J79">
        <v>75</v>
      </c>
      <c r="K79" s="18" t="s">
        <v>129</v>
      </c>
      <c r="L79" s="18" t="s">
        <v>130</v>
      </c>
      <c r="M79" s="18" t="s">
        <v>149</v>
      </c>
    </row>
    <row r="80" spans="1:13" x14ac:dyDescent="0.25">
      <c r="A80">
        <v>76</v>
      </c>
      <c r="B80" s="19" t="s">
        <v>37</v>
      </c>
      <c r="C80" s="19" t="s">
        <v>15</v>
      </c>
      <c r="D80" s="20" t="s">
        <v>35</v>
      </c>
      <c r="E80" s="20" t="s">
        <v>15</v>
      </c>
      <c r="F80" s="22" t="s">
        <v>29</v>
      </c>
      <c r="G80" s="22" t="s">
        <v>20</v>
      </c>
      <c r="H80" s="22" t="s">
        <v>134</v>
      </c>
      <c r="J80">
        <v>76</v>
      </c>
      <c r="K80" s="18" t="s">
        <v>129</v>
      </c>
      <c r="L80" s="18" t="s">
        <v>130</v>
      </c>
      <c r="M80" s="18" t="s">
        <v>149</v>
      </c>
    </row>
    <row r="81" spans="1:13" x14ac:dyDescent="0.25">
      <c r="A81">
        <v>77</v>
      </c>
      <c r="B81" s="19" t="s">
        <v>37</v>
      </c>
      <c r="C81" s="19" t="s">
        <v>7</v>
      </c>
      <c r="D81" s="20" t="s">
        <v>35</v>
      </c>
      <c r="E81" s="20" t="s">
        <v>7</v>
      </c>
      <c r="F81" s="22" t="s">
        <v>23</v>
      </c>
      <c r="G81" s="22" t="s">
        <v>136</v>
      </c>
      <c r="H81" s="22" t="s">
        <v>134</v>
      </c>
      <c r="J81">
        <v>77</v>
      </c>
      <c r="K81" s="18" t="s">
        <v>129</v>
      </c>
      <c r="L81" s="18" t="s">
        <v>130</v>
      </c>
      <c r="M81" s="18" t="s">
        <v>149</v>
      </c>
    </row>
    <row r="82" spans="1:13" x14ac:dyDescent="0.25">
      <c r="A82">
        <v>78</v>
      </c>
      <c r="B82" s="19" t="s">
        <v>37</v>
      </c>
      <c r="C82" s="19" t="s">
        <v>7</v>
      </c>
      <c r="D82" s="20" t="s">
        <v>35</v>
      </c>
      <c r="E82" s="20" t="s">
        <v>7</v>
      </c>
      <c r="F82" s="22" t="s">
        <v>27</v>
      </c>
      <c r="G82" s="22" t="s">
        <v>17</v>
      </c>
      <c r="H82" s="22" t="s">
        <v>134</v>
      </c>
      <c r="J82">
        <v>78</v>
      </c>
      <c r="K82" s="18" t="s">
        <v>129</v>
      </c>
      <c r="L82" s="18" t="s">
        <v>130</v>
      </c>
      <c r="M82" s="18" t="s">
        <v>149</v>
      </c>
    </row>
    <row r="83" spans="1:13" x14ac:dyDescent="0.25">
      <c r="A83">
        <v>79</v>
      </c>
      <c r="B83" s="19" t="s">
        <v>37</v>
      </c>
      <c r="C83" s="19" t="s">
        <v>15</v>
      </c>
      <c r="D83" s="20" t="s">
        <v>35</v>
      </c>
      <c r="E83" s="20" t="s">
        <v>15</v>
      </c>
      <c r="F83" s="22" t="s">
        <v>29</v>
      </c>
      <c r="G83" s="22" t="s">
        <v>17</v>
      </c>
      <c r="H83" s="22" t="s">
        <v>134</v>
      </c>
      <c r="J83">
        <v>79</v>
      </c>
      <c r="K83" s="18" t="s">
        <v>129</v>
      </c>
      <c r="L83" s="18" t="s">
        <v>130</v>
      </c>
      <c r="M83" s="18" t="s">
        <v>149</v>
      </c>
    </row>
    <row r="84" spans="1:13" x14ac:dyDescent="0.25">
      <c r="A84">
        <v>80</v>
      </c>
      <c r="B84" s="19" t="s">
        <v>36</v>
      </c>
      <c r="C84" s="19" t="s">
        <v>7</v>
      </c>
      <c r="D84" s="20" t="s">
        <v>35</v>
      </c>
      <c r="E84" s="20" t="s">
        <v>7</v>
      </c>
      <c r="F84" s="22" t="s">
        <v>27</v>
      </c>
      <c r="G84" s="22" t="s">
        <v>20</v>
      </c>
      <c r="H84" s="22" t="s">
        <v>134</v>
      </c>
      <c r="J84">
        <v>80</v>
      </c>
      <c r="K84" s="18" t="s">
        <v>129</v>
      </c>
      <c r="L84" s="18" t="s">
        <v>130</v>
      </c>
      <c r="M84" s="18" t="s">
        <v>149</v>
      </c>
    </row>
    <row r="85" spans="1:13" x14ac:dyDescent="0.25">
      <c r="A85">
        <v>81</v>
      </c>
      <c r="B85" s="19" t="s">
        <v>37</v>
      </c>
      <c r="C85" s="19" t="s">
        <v>21</v>
      </c>
      <c r="D85" s="20" t="s">
        <v>34</v>
      </c>
      <c r="E85" s="20" t="s">
        <v>21</v>
      </c>
      <c r="F85" s="22" t="s">
        <v>24</v>
      </c>
      <c r="G85" s="22" t="s">
        <v>138</v>
      </c>
      <c r="H85" s="22" t="s">
        <v>134</v>
      </c>
      <c r="J85">
        <v>81</v>
      </c>
      <c r="K85" s="18" t="s">
        <v>129</v>
      </c>
      <c r="L85" s="18" t="s">
        <v>130</v>
      </c>
      <c r="M85" s="18" t="s">
        <v>149</v>
      </c>
    </row>
    <row r="86" spans="1:13" x14ac:dyDescent="0.25">
      <c r="A86">
        <v>82</v>
      </c>
      <c r="B86" s="19" t="s">
        <v>37</v>
      </c>
      <c r="C86" s="19" t="s">
        <v>21</v>
      </c>
      <c r="D86" s="20" t="s">
        <v>34</v>
      </c>
      <c r="E86" s="20" t="s">
        <v>21</v>
      </c>
      <c r="F86" s="22" t="s">
        <v>24</v>
      </c>
      <c r="G86" s="22" t="s">
        <v>138</v>
      </c>
      <c r="H86" s="22" t="s">
        <v>134</v>
      </c>
      <c r="J86">
        <v>82</v>
      </c>
      <c r="K86" s="18" t="s">
        <v>129</v>
      </c>
      <c r="L86" s="18" t="s">
        <v>130</v>
      </c>
      <c r="M86" s="18" t="s">
        <v>149</v>
      </c>
    </row>
    <row r="87" spans="1:13" x14ac:dyDescent="0.25">
      <c r="A87">
        <v>83</v>
      </c>
      <c r="B87" s="19" t="s">
        <v>36</v>
      </c>
      <c r="C87" s="19" t="s">
        <v>21</v>
      </c>
      <c r="D87" s="20" t="s">
        <v>32</v>
      </c>
      <c r="E87" s="20" t="s">
        <v>21</v>
      </c>
      <c r="F87" s="22" t="s">
        <v>24</v>
      </c>
      <c r="G87" s="22" t="s">
        <v>135</v>
      </c>
      <c r="H87" s="22" t="s">
        <v>134</v>
      </c>
      <c r="J87">
        <v>83</v>
      </c>
      <c r="K87" s="18" t="s">
        <v>129</v>
      </c>
      <c r="L87" s="18" t="s">
        <v>130</v>
      </c>
      <c r="M87" s="18" t="s">
        <v>149</v>
      </c>
    </row>
    <row r="88" spans="1:13" x14ac:dyDescent="0.25">
      <c r="A88">
        <v>84</v>
      </c>
      <c r="B88" s="19" t="s">
        <v>36</v>
      </c>
      <c r="C88" s="19" t="s">
        <v>21</v>
      </c>
      <c r="D88" s="20" t="s">
        <v>32</v>
      </c>
      <c r="E88" s="20" t="s">
        <v>21</v>
      </c>
      <c r="F88" s="22" t="s">
        <v>24</v>
      </c>
      <c r="G88" s="22" t="s">
        <v>137</v>
      </c>
      <c r="H88" s="22" t="s">
        <v>134</v>
      </c>
      <c r="J88">
        <v>84</v>
      </c>
      <c r="K88" s="18" t="s">
        <v>129</v>
      </c>
      <c r="L88" s="18" t="s">
        <v>130</v>
      </c>
      <c r="M88" s="18" t="s">
        <v>149</v>
      </c>
    </row>
    <row r="89" spans="1:13" x14ac:dyDescent="0.25">
      <c r="A89">
        <v>85</v>
      </c>
      <c r="B89" s="19" t="s">
        <v>37</v>
      </c>
      <c r="C89" s="19" t="s">
        <v>15</v>
      </c>
      <c r="D89" s="20" t="s">
        <v>35</v>
      </c>
      <c r="E89" s="20" t="s">
        <v>15</v>
      </c>
      <c r="F89" s="22" t="s">
        <v>29</v>
      </c>
      <c r="G89" s="22" t="s">
        <v>138</v>
      </c>
      <c r="H89" s="22" t="s">
        <v>134</v>
      </c>
      <c r="J89">
        <v>85</v>
      </c>
      <c r="K89" s="18" t="s">
        <v>129</v>
      </c>
      <c r="L89" s="18" t="s">
        <v>130</v>
      </c>
      <c r="M89" s="18" t="s">
        <v>149</v>
      </c>
    </row>
    <row r="90" spans="1:13" x14ac:dyDescent="0.25">
      <c r="A90">
        <v>86</v>
      </c>
      <c r="B90" s="19" t="s">
        <v>37</v>
      </c>
      <c r="C90" s="19" t="s">
        <v>15</v>
      </c>
      <c r="D90" s="20" t="s">
        <v>35</v>
      </c>
      <c r="E90" s="20" t="s">
        <v>15</v>
      </c>
      <c r="F90" s="22" t="s">
        <v>29</v>
      </c>
      <c r="G90" s="22" t="s">
        <v>17</v>
      </c>
      <c r="H90" s="22" t="s">
        <v>134</v>
      </c>
      <c r="J90">
        <v>86</v>
      </c>
      <c r="K90" s="18" t="s">
        <v>129</v>
      </c>
      <c r="L90" s="18" t="s">
        <v>130</v>
      </c>
      <c r="M90" s="18" t="s">
        <v>149</v>
      </c>
    </row>
    <row r="91" spans="1:13" x14ac:dyDescent="0.25">
      <c r="A91">
        <v>87</v>
      </c>
      <c r="B91" s="19" t="s">
        <v>37</v>
      </c>
      <c r="C91" s="19" t="s">
        <v>15</v>
      </c>
      <c r="D91" s="20" t="s">
        <v>34</v>
      </c>
      <c r="E91" s="20" t="s">
        <v>15</v>
      </c>
      <c r="F91" s="22" t="s">
        <v>24</v>
      </c>
      <c r="G91" s="22" t="s">
        <v>17</v>
      </c>
      <c r="H91" s="22" t="s">
        <v>134</v>
      </c>
      <c r="J91">
        <v>87</v>
      </c>
      <c r="K91" s="18" t="s">
        <v>129</v>
      </c>
      <c r="L91" s="18" t="s">
        <v>130</v>
      </c>
      <c r="M91" s="18" t="s">
        <v>149</v>
      </c>
    </row>
    <row r="92" spans="1:13" x14ac:dyDescent="0.25">
      <c r="A92">
        <v>88</v>
      </c>
      <c r="B92" s="19" t="s">
        <v>36</v>
      </c>
      <c r="C92" s="19" t="s">
        <v>7</v>
      </c>
      <c r="D92" s="20" t="s">
        <v>35</v>
      </c>
      <c r="E92" s="20" t="s">
        <v>7</v>
      </c>
      <c r="F92" s="22" t="s">
        <v>139</v>
      </c>
      <c r="G92" s="22" t="s">
        <v>8</v>
      </c>
      <c r="H92" s="22" t="s">
        <v>134</v>
      </c>
      <c r="J92">
        <v>88</v>
      </c>
      <c r="K92" s="18" t="s">
        <v>129</v>
      </c>
      <c r="L92" s="18" t="s">
        <v>130</v>
      </c>
      <c r="M92" s="18" t="s">
        <v>149</v>
      </c>
    </row>
    <row r="93" spans="1:13" x14ac:dyDescent="0.25">
      <c r="A93">
        <v>89</v>
      </c>
      <c r="B93" s="19" t="s">
        <v>36</v>
      </c>
      <c r="C93" s="19" t="s">
        <v>7</v>
      </c>
      <c r="D93" s="20" t="s">
        <v>32</v>
      </c>
      <c r="E93" s="20" t="s">
        <v>7</v>
      </c>
      <c r="F93" s="22" t="s">
        <v>23</v>
      </c>
      <c r="G93" s="22" t="s">
        <v>136</v>
      </c>
      <c r="H93" s="22" t="s">
        <v>134</v>
      </c>
      <c r="J93">
        <v>89</v>
      </c>
      <c r="K93" s="18" t="s">
        <v>129</v>
      </c>
      <c r="L93" s="18" t="s">
        <v>130</v>
      </c>
      <c r="M93" s="18" t="s">
        <v>149</v>
      </c>
    </row>
    <row r="94" spans="1:13" x14ac:dyDescent="0.25">
      <c r="A94">
        <v>90</v>
      </c>
      <c r="B94" s="19" t="s">
        <v>36</v>
      </c>
      <c r="C94" s="19" t="s">
        <v>7</v>
      </c>
      <c r="D94" s="20" t="s">
        <v>32</v>
      </c>
      <c r="E94" s="20" t="s">
        <v>7</v>
      </c>
      <c r="F94" s="22" t="s">
        <v>139</v>
      </c>
      <c r="G94" s="22" t="s">
        <v>135</v>
      </c>
      <c r="H94" s="22" t="s">
        <v>134</v>
      </c>
      <c r="J94">
        <v>90</v>
      </c>
      <c r="K94" s="18" t="s">
        <v>129</v>
      </c>
      <c r="L94" s="18" t="s">
        <v>130</v>
      </c>
      <c r="M94" s="18" t="s">
        <v>149</v>
      </c>
    </row>
    <row r="95" spans="1:13" x14ac:dyDescent="0.25">
      <c r="A95">
        <v>91</v>
      </c>
      <c r="B95" s="19" t="s">
        <v>37</v>
      </c>
      <c r="C95" s="19" t="s">
        <v>7</v>
      </c>
      <c r="D95" s="20" t="s">
        <v>35</v>
      </c>
      <c r="E95" s="20" t="s">
        <v>7</v>
      </c>
      <c r="F95" s="22" t="s">
        <v>27</v>
      </c>
      <c r="G95" s="22" t="s">
        <v>17</v>
      </c>
      <c r="H95" s="22" t="s">
        <v>134</v>
      </c>
      <c r="J95">
        <v>91</v>
      </c>
      <c r="K95" s="18" t="s">
        <v>129</v>
      </c>
      <c r="L95" s="18" t="s">
        <v>130</v>
      </c>
      <c r="M95" s="18" t="s">
        <v>149</v>
      </c>
    </row>
    <row r="96" spans="1:13" x14ac:dyDescent="0.25">
      <c r="A96">
        <v>92</v>
      </c>
      <c r="B96" s="19" t="s">
        <v>37</v>
      </c>
      <c r="C96" s="19" t="s">
        <v>7</v>
      </c>
      <c r="D96" s="20" t="s">
        <v>35</v>
      </c>
      <c r="E96" s="20" t="s">
        <v>7</v>
      </c>
      <c r="F96" s="22" t="s">
        <v>27</v>
      </c>
      <c r="G96" s="22" t="s">
        <v>17</v>
      </c>
      <c r="H96" s="22" t="s">
        <v>134</v>
      </c>
      <c r="J96">
        <v>92</v>
      </c>
      <c r="K96" s="18" t="s">
        <v>129</v>
      </c>
      <c r="L96" s="18" t="s">
        <v>130</v>
      </c>
      <c r="M96" s="18" t="s">
        <v>149</v>
      </c>
    </row>
    <row r="97" spans="1:13" x14ac:dyDescent="0.25">
      <c r="A97">
        <v>93</v>
      </c>
      <c r="B97" s="19" t="s">
        <v>37</v>
      </c>
      <c r="C97" s="19" t="s">
        <v>7</v>
      </c>
      <c r="D97" s="20" t="s">
        <v>35</v>
      </c>
      <c r="E97" s="20" t="s">
        <v>7</v>
      </c>
      <c r="F97" s="22" t="s">
        <v>27</v>
      </c>
      <c r="G97" s="22" t="s">
        <v>17</v>
      </c>
      <c r="H97" s="22" t="s">
        <v>134</v>
      </c>
      <c r="J97">
        <v>93</v>
      </c>
      <c r="K97" s="18" t="s">
        <v>129</v>
      </c>
      <c r="L97" s="18" t="s">
        <v>130</v>
      </c>
      <c r="M97" s="18" t="s">
        <v>149</v>
      </c>
    </row>
    <row r="98" spans="1:13" x14ac:dyDescent="0.25">
      <c r="A98">
        <v>94</v>
      </c>
      <c r="B98" s="19" t="s">
        <v>37</v>
      </c>
      <c r="C98" s="19" t="s">
        <v>7</v>
      </c>
      <c r="D98" s="20" t="s">
        <v>35</v>
      </c>
      <c r="E98" s="20" t="s">
        <v>7</v>
      </c>
      <c r="F98" s="22" t="s">
        <v>27</v>
      </c>
      <c r="G98" s="22" t="s">
        <v>17</v>
      </c>
      <c r="H98" s="22" t="s">
        <v>134</v>
      </c>
      <c r="J98">
        <v>94</v>
      </c>
      <c r="K98" s="18" t="s">
        <v>129</v>
      </c>
      <c r="L98" s="18" t="s">
        <v>130</v>
      </c>
      <c r="M98" s="18" t="s">
        <v>149</v>
      </c>
    </row>
    <row r="99" spans="1:13" x14ac:dyDescent="0.25">
      <c r="A99">
        <v>95</v>
      </c>
      <c r="B99" s="19" t="s">
        <v>37</v>
      </c>
      <c r="C99" s="19" t="s">
        <v>7</v>
      </c>
      <c r="D99" s="20" t="s">
        <v>35</v>
      </c>
      <c r="E99" s="20" t="s">
        <v>7</v>
      </c>
      <c r="F99" s="22" t="s">
        <v>27</v>
      </c>
      <c r="G99" s="22" t="s">
        <v>17</v>
      </c>
      <c r="H99" s="22" t="s">
        <v>134</v>
      </c>
      <c r="J99">
        <v>95</v>
      </c>
      <c r="K99" s="18" t="s">
        <v>129</v>
      </c>
      <c r="L99" s="18" t="s">
        <v>130</v>
      </c>
      <c r="M99" s="18" t="s">
        <v>149</v>
      </c>
    </row>
  </sheetData>
  <mergeCells count="8">
    <mergeCell ref="P1:Q1"/>
    <mergeCell ref="A1:A3"/>
    <mergeCell ref="B1:C1"/>
    <mergeCell ref="D1:E1"/>
    <mergeCell ref="F1:H1"/>
    <mergeCell ref="O1:O2"/>
    <mergeCell ref="J1:J3"/>
    <mergeCell ref="K1:M1"/>
  </mergeCells>
  <phoneticPr fontId="6" type="noConversion"/>
  <pageMargins left="0.7" right="0.7" top="0.75" bottom="0.75" header="0.3" footer="0.3"/>
  <webPublishItems count="1">
    <webPublishItem id="29457" divId="Quels sont mes interlocuteurs commerciaux_29457" sourceType="sheet" destinationFile="\\Ns1lagbl\dac\DAC\Site_PMC\Liens_utiles\Quels sont mes interlocuteurs commerciaux.htm"/>
  </webPublishItem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F691-1165-40DE-A6A3-7D9BB78228DB}">
  <dimension ref="A1:Q100"/>
  <sheetViews>
    <sheetView workbookViewId="0">
      <selection sqref="A1:XFD1048576"/>
    </sheetView>
  </sheetViews>
  <sheetFormatPr baseColWidth="10" defaultRowHeight="15" x14ac:dyDescent="0.25"/>
  <cols>
    <col min="3" max="3" width="13.7109375" bestFit="1" customWidth="1"/>
    <col min="8" max="8" width="17" bestFit="1" customWidth="1"/>
    <col min="9" max="9" width="27.5703125" bestFit="1" customWidth="1"/>
    <col min="10" max="10" width="25.28515625" bestFit="1" customWidth="1"/>
    <col min="13" max="13" width="1.5703125" bestFit="1" customWidth="1"/>
    <col min="15" max="15" width="2.7109375" bestFit="1" customWidth="1"/>
    <col min="16" max="16" width="17" bestFit="1" customWidth="1"/>
    <col min="17" max="17" width="31.7109375" bestFit="1" customWidth="1"/>
  </cols>
  <sheetData>
    <row r="1" spans="1:17" x14ac:dyDescent="0.25">
      <c r="A1" t="s">
        <v>0</v>
      </c>
      <c r="B1" s="11" t="s">
        <v>45</v>
      </c>
      <c r="J1" t="s">
        <v>49</v>
      </c>
    </row>
    <row r="2" spans="1:17" x14ac:dyDescent="0.25">
      <c r="A2">
        <v>1</v>
      </c>
      <c r="B2" t="s">
        <v>32</v>
      </c>
      <c r="C2" t="str">
        <f>LOWER(B2)</f>
        <v>xavier coic</v>
      </c>
      <c r="D2" t="s">
        <v>98</v>
      </c>
      <c r="E2" t="s">
        <v>67</v>
      </c>
      <c r="F2" t="s">
        <v>99</v>
      </c>
      <c r="G2" t="s">
        <v>68</v>
      </c>
      <c r="H2" t="s">
        <v>69</v>
      </c>
      <c r="I2" t="str">
        <f>CONCATENATE(D2,E2,F2,G2,H2)</f>
        <v>xavier.coic@berger-levrault.com</v>
      </c>
      <c r="J2" t="s">
        <v>5</v>
      </c>
      <c r="K2" t="str">
        <f>LOWER(J2)</f>
        <v>karine raepsaet</v>
      </c>
      <c r="L2" t="s">
        <v>105</v>
      </c>
      <c r="M2" t="s">
        <v>67</v>
      </c>
      <c r="N2" t="s">
        <v>106</v>
      </c>
      <c r="O2" t="s">
        <v>68</v>
      </c>
      <c r="P2" t="s">
        <v>69</v>
      </c>
      <c r="Q2" t="str">
        <f>CONCATENATE(L2,M2,N2,O2,P2)</f>
        <v>karine.raepsaet@berger-levrault.com</v>
      </c>
    </row>
    <row r="3" spans="1:17" x14ac:dyDescent="0.25">
      <c r="A3">
        <v>2</v>
      </c>
      <c r="B3" t="s">
        <v>33</v>
      </c>
      <c r="C3" t="str">
        <f t="shared" ref="C3:C66" si="0">LOWER(B3)</f>
        <v>gerard minnaert</v>
      </c>
      <c r="D3" t="s">
        <v>100</v>
      </c>
      <c r="E3" t="s">
        <v>67</v>
      </c>
      <c r="F3" t="s">
        <v>101</v>
      </c>
      <c r="G3" t="s">
        <v>68</v>
      </c>
      <c r="H3" t="s">
        <v>69</v>
      </c>
      <c r="I3" t="str">
        <f t="shared" ref="I3:I66" si="1">CONCATENATE(D3,E3,F3,G3,H3)</f>
        <v>gerard.minnaert@berger-levrault.com</v>
      </c>
      <c r="J3" t="s">
        <v>7</v>
      </c>
      <c r="K3" t="str">
        <f t="shared" ref="K3:K66" si="2">LOWER(J3)</f>
        <v>marie-laure tressol gracia</v>
      </c>
      <c r="L3" t="s">
        <v>107</v>
      </c>
      <c r="M3" t="s">
        <v>67</v>
      </c>
      <c r="N3" t="s">
        <v>111</v>
      </c>
      <c r="O3" t="s">
        <v>68</v>
      </c>
      <c r="P3" t="s">
        <v>69</v>
      </c>
      <c r="Q3" t="str">
        <f t="shared" ref="Q3:Q66" si="3">CONCATENATE(L3,M3,N3,O3,P3)</f>
        <v>marie-laure.tressolgracia@berger-levrault.com</v>
      </c>
    </row>
    <row r="4" spans="1:17" x14ac:dyDescent="0.25">
      <c r="A4">
        <v>3</v>
      </c>
      <c r="B4" t="s">
        <v>34</v>
      </c>
      <c r="C4" t="str">
        <f t="shared" si="0"/>
        <v>amelie perez</v>
      </c>
      <c r="D4" t="s">
        <v>102</v>
      </c>
      <c r="E4" t="s">
        <v>67</v>
      </c>
      <c r="F4" t="s">
        <v>103</v>
      </c>
      <c r="G4" t="s">
        <v>68</v>
      </c>
      <c r="H4" t="s">
        <v>69</v>
      </c>
      <c r="I4" t="str">
        <f t="shared" si="1"/>
        <v>amelie.perez@berger-levrault.com</v>
      </c>
      <c r="J4" t="s">
        <v>9</v>
      </c>
      <c r="K4" t="str">
        <f t="shared" si="2"/>
        <v>virginie bortolon</v>
      </c>
      <c r="L4" t="s">
        <v>70</v>
      </c>
      <c r="M4" t="s">
        <v>67</v>
      </c>
      <c r="N4" t="s">
        <v>108</v>
      </c>
      <c r="O4" t="s">
        <v>68</v>
      </c>
      <c r="P4" t="s">
        <v>69</v>
      </c>
      <c r="Q4" t="str">
        <f t="shared" si="3"/>
        <v>virginie.bortolon@berger-levrault.com</v>
      </c>
    </row>
    <row r="5" spans="1:17" x14ac:dyDescent="0.25">
      <c r="A5">
        <v>4</v>
      </c>
      <c r="B5" t="s">
        <v>32</v>
      </c>
      <c r="C5" t="str">
        <f t="shared" si="0"/>
        <v>xavier coic</v>
      </c>
      <c r="D5" t="s">
        <v>98</v>
      </c>
      <c r="E5" t="s">
        <v>67</v>
      </c>
      <c r="F5" t="s">
        <v>99</v>
      </c>
      <c r="G5" t="s">
        <v>68</v>
      </c>
      <c r="H5" t="s">
        <v>69</v>
      </c>
      <c r="I5" t="str">
        <f t="shared" si="1"/>
        <v>xavier.coic@berger-levrault.com</v>
      </c>
      <c r="J5" t="s">
        <v>5</v>
      </c>
      <c r="K5" t="str">
        <f t="shared" si="2"/>
        <v>karine raepsaet</v>
      </c>
      <c r="L5" t="s">
        <v>105</v>
      </c>
      <c r="M5" t="s">
        <v>67</v>
      </c>
      <c r="N5" t="s">
        <v>106</v>
      </c>
      <c r="O5" t="s">
        <v>68</v>
      </c>
      <c r="P5" t="s">
        <v>69</v>
      </c>
      <c r="Q5" t="str">
        <f t="shared" si="3"/>
        <v>karine.raepsaet@berger-levrault.com</v>
      </c>
    </row>
    <row r="6" spans="1:17" x14ac:dyDescent="0.25">
      <c r="A6">
        <v>5</v>
      </c>
      <c r="B6" t="s">
        <v>32</v>
      </c>
      <c r="C6" t="str">
        <f t="shared" si="0"/>
        <v>xavier coic</v>
      </c>
      <c r="D6" t="s">
        <v>98</v>
      </c>
      <c r="E6" t="s">
        <v>67</v>
      </c>
      <c r="F6" t="s">
        <v>99</v>
      </c>
      <c r="G6" t="s">
        <v>68</v>
      </c>
      <c r="H6" t="s">
        <v>69</v>
      </c>
      <c r="I6" t="str">
        <f t="shared" si="1"/>
        <v>xavier.coic@berger-levrault.com</v>
      </c>
      <c r="J6" t="s">
        <v>5</v>
      </c>
      <c r="K6" t="str">
        <f t="shared" si="2"/>
        <v>karine raepsaet</v>
      </c>
      <c r="L6" t="s">
        <v>105</v>
      </c>
      <c r="M6" t="s">
        <v>67</v>
      </c>
      <c r="N6" t="s">
        <v>106</v>
      </c>
      <c r="O6" t="s">
        <v>68</v>
      </c>
      <c r="P6" t="s">
        <v>69</v>
      </c>
      <c r="Q6" t="str">
        <f t="shared" si="3"/>
        <v>karine.raepsaet@berger-levrault.com</v>
      </c>
    </row>
    <row r="7" spans="1:17" x14ac:dyDescent="0.25">
      <c r="A7">
        <v>6</v>
      </c>
      <c r="B7" t="s">
        <v>32</v>
      </c>
      <c r="C7" t="str">
        <f t="shared" si="0"/>
        <v>xavier coic</v>
      </c>
      <c r="D7" t="s">
        <v>98</v>
      </c>
      <c r="E7" t="s">
        <v>67</v>
      </c>
      <c r="F7" t="s">
        <v>99</v>
      </c>
      <c r="G7" t="s">
        <v>68</v>
      </c>
      <c r="H7" t="s">
        <v>69</v>
      </c>
      <c r="I7" t="str">
        <f t="shared" si="1"/>
        <v>xavier.coic@berger-levrault.com</v>
      </c>
      <c r="J7" t="s">
        <v>5</v>
      </c>
      <c r="K7" t="str">
        <f t="shared" si="2"/>
        <v>karine raepsaet</v>
      </c>
      <c r="L7" t="s">
        <v>105</v>
      </c>
      <c r="M7" t="s">
        <v>67</v>
      </c>
      <c r="N7" t="s">
        <v>106</v>
      </c>
      <c r="O7" t="s">
        <v>68</v>
      </c>
      <c r="P7" t="s">
        <v>69</v>
      </c>
      <c r="Q7" t="str">
        <f t="shared" si="3"/>
        <v>karine.raepsaet@berger-levrault.com</v>
      </c>
    </row>
    <row r="8" spans="1:17" x14ac:dyDescent="0.25">
      <c r="A8">
        <v>7</v>
      </c>
      <c r="B8" t="s">
        <v>32</v>
      </c>
      <c r="C8" t="str">
        <f t="shared" si="0"/>
        <v>xavier coic</v>
      </c>
      <c r="D8" t="s">
        <v>98</v>
      </c>
      <c r="E8" t="s">
        <v>67</v>
      </c>
      <c r="F8" t="s">
        <v>99</v>
      </c>
      <c r="G8" t="s">
        <v>68</v>
      </c>
      <c r="H8" t="s">
        <v>69</v>
      </c>
      <c r="I8" t="str">
        <f t="shared" si="1"/>
        <v>xavier.coic@berger-levrault.com</v>
      </c>
      <c r="J8" t="s">
        <v>5</v>
      </c>
      <c r="K8" t="str">
        <f t="shared" si="2"/>
        <v>karine raepsaet</v>
      </c>
      <c r="L8" t="s">
        <v>105</v>
      </c>
      <c r="M8" t="s">
        <v>67</v>
      </c>
      <c r="N8" t="s">
        <v>106</v>
      </c>
      <c r="O8" t="s">
        <v>68</v>
      </c>
      <c r="P8" t="s">
        <v>69</v>
      </c>
      <c r="Q8" t="str">
        <f t="shared" si="3"/>
        <v>karine.raepsaet@berger-levrault.com</v>
      </c>
    </row>
    <row r="9" spans="1:17" x14ac:dyDescent="0.25">
      <c r="A9">
        <v>8</v>
      </c>
      <c r="B9" t="s">
        <v>33</v>
      </c>
      <c r="C9" t="str">
        <f t="shared" si="0"/>
        <v>gerard minnaert</v>
      </c>
      <c r="D9" t="s">
        <v>100</v>
      </c>
      <c r="E9" t="s">
        <v>67</v>
      </c>
      <c r="F9" t="s">
        <v>101</v>
      </c>
      <c r="G9" t="s">
        <v>68</v>
      </c>
      <c r="H9" t="s">
        <v>69</v>
      </c>
      <c r="I9" t="str">
        <f t="shared" si="1"/>
        <v>gerard.minnaert@berger-levrault.com</v>
      </c>
      <c r="J9" t="s">
        <v>7</v>
      </c>
      <c r="K9" t="str">
        <f t="shared" si="2"/>
        <v>marie-laure tressol gracia</v>
      </c>
      <c r="L9" t="s">
        <v>107</v>
      </c>
      <c r="M9" t="s">
        <v>67</v>
      </c>
      <c r="N9" t="s">
        <v>111</v>
      </c>
      <c r="O9" t="s">
        <v>68</v>
      </c>
      <c r="P9" t="s">
        <v>69</v>
      </c>
      <c r="Q9" t="str">
        <f t="shared" si="3"/>
        <v>marie-laure.tressolgracia@berger-levrault.com</v>
      </c>
    </row>
    <row r="10" spans="1:17" x14ac:dyDescent="0.25">
      <c r="A10">
        <v>9</v>
      </c>
      <c r="B10" t="s">
        <v>34</v>
      </c>
      <c r="C10" t="str">
        <f t="shared" si="0"/>
        <v>amelie perez</v>
      </c>
      <c r="D10" t="s">
        <v>102</v>
      </c>
      <c r="E10" t="s">
        <v>67</v>
      </c>
      <c r="F10" t="s">
        <v>103</v>
      </c>
      <c r="G10" t="s">
        <v>68</v>
      </c>
      <c r="H10" t="s">
        <v>69</v>
      </c>
      <c r="I10" t="str">
        <f t="shared" si="1"/>
        <v>amelie.perez@berger-levrault.com</v>
      </c>
      <c r="J10" t="s">
        <v>9</v>
      </c>
      <c r="K10" t="str">
        <f t="shared" si="2"/>
        <v>virginie bortolon</v>
      </c>
      <c r="L10" t="s">
        <v>70</v>
      </c>
      <c r="M10" t="s">
        <v>67</v>
      </c>
      <c r="N10" t="s">
        <v>108</v>
      </c>
      <c r="O10" t="s">
        <v>68</v>
      </c>
      <c r="P10" t="s">
        <v>69</v>
      </c>
      <c r="Q10" t="str">
        <f t="shared" si="3"/>
        <v>virginie.bortolon@berger-levrault.com</v>
      </c>
    </row>
    <row r="11" spans="1:17" x14ac:dyDescent="0.25">
      <c r="A11">
        <v>10</v>
      </c>
      <c r="B11" t="s">
        <v>33</v>
      </c>
      <c r="C11" t="str">
        <f t="shared" si="0"/>
        <v>gerard minnaert</v>
      </c>
      <c r="D11" t="s">
        <v>100</v>
      </c>
      <c r="E11" t="s">
        <v>67</v>
      </c>
      <c r="F11" t="s">
        <v>101</v>
      </c>
      <c r="G11" t="s">
        <v>68</v>
      </c>
      <c r="H11" t="s">
        <v>69</v>
      </c>
      <c r="I11" t="str">
        <f t="shared" si="1"/>
        <v>gerard.minnaert@berger-levrault.com</v>
      </c>
      <c r="J11" t="s">
        <v>9</v>
      </c>
      <c r="K11" t="str">
        <f t="shared" si="2"/>
        <v>virginie bortolon</v>
      </c>
      <c r="L11" t="s">
        <v>70</v>
      </c>
      <c r="M11" t="s">
        <v>67</v>
      </c>
      <c r="N11" t="s">
        <v>108</v>
      </c>
      <c r="O11" t="s">
        <v>68</v>
      </c>
      <c r="P11" t="s">
        <v>69</v>
      </c>
      <c r="Q11" t="str">
        <f t="shared" si="3"/>
        <v>virginie.bortolon@berger-levrault.com</v>
      </c>
    </row>
    <row r="12" spans="1:17" x14ac:dyDescent="0.25">
      <c r="A12">
        <v>11</v>
      </c>
      <c r="B12" t="s">
        <v>34</v>
      </c>
      <c r="C12" t="str">
        <f t="shared" si="0"/>
        <v>amelie perez</v>
      </c>
      <c r="D12" t="s">
        <v>102</v>
      </c>
      <c r="E12" t="s">
        <v>67</v>
      </c>
      <c r="F12" t="s">
        <v>103</v>
      </c>
      <c r="G12" t="s">
        <v>68</v>
      </c>
      <c r="H12" t="s">
        <v>69</v>
      </c>
      <c r="I12" t="str">
        <f t="shared" si="1"/>
        <v>amelie.perez@berger-levrault.com</v>
      </c>
      <c r="J12" t="s">
        <v>9</v>
      </c>
      <c r="K12" t="str">
        <f t="shared" si="2"/>
        <v>virginie bortolon</v>
      </c>
      <c r="L12" t="s">
        <v>70</v>
      </c>
      <c r="M12" t="s">
        <v>67</v>
      </c>
      <c r="N12" t="s">
        <v>108</v>
      </c>
      <c r="O12" t="s">
        <v>68</v>
      </c>
      <c r="P12" t="s">
        <v>69</v>
      </c>
      <c r="Q12" t="str">
        <f t="shared" si="3"/>
        <v>virginie.bortolon@berger-levrault.com</v>
      </c>
    </row>
    <row r="13" spans="1:17" x14ac:dyDescent="0.25">
      <c r="A13">
        <v>12</v>
      </c>
      <c r="B13" t="s">
        <v>34</v>
      </c>
      <c r="C13" t="str">
        <f t="shared" si="0"/>
        <v>amelie perez</v>
      </c>
      <c r="D13" t="s">
        <v>102</v>
      </c>
      <c r="E13" t="s">
        <v>67</v>
      </c>
      <c r="F13" t="s">
        <v>103</v>
      </c>
      <c r="G13" t="s">
        <v>68</v>
      </c>
      <c r="H13" t="s">
        <v>69</v>
      </c>
      <c r="I13" t="str">
        <f t="shared" si="1"/>
        <v>amelie.perez@berger-levrault.com</v>
      </c>
      <c r="J13" t="s">
        <v>9</v>
      </c>
      <c r="K13" t="str">
        <f t="shared" si="2"/>
        <v>virginie bortolon</v>
      </c>
      <c r="L13" t="s">
        <v>70</v>
      </c>
      <c r="M13" t="s">
        <v>67</v>
      </c>
      <c r="N13" t="s">
        <v>108</v>
      </c>
      <c r="O13" t="s">
        <v>68</v>
      </c>
      <c r="P13" t="s">
        <v>69</v>
      </c>
      <c r="Q13" t="str">
        <f t="shared" si="3"/>
        <v>virginie.bortolon@berger-levrault.com</v>
      </c>
    </row>
    <row r="14" spans="1:17" x14ac:dyDescent="0.25">
      <c r="A14">
        <v>13</v>
      </c>
      <c r="B14" t="s">
        <v>32</v>
      </c>
      <c r="C14" t="str">
        <f t="shared" si="0"/>
        <v>xavier coic</v>
      </c>
      <c r="D14" t="s">
        <v>98</v>
      </c>
      <c r="E14" t="s">
        <v>67</v>
      </c>
      <c r="F14" t="s">
        <v>99</v>
      </c>
      <c r="G14" t="s">
        <v>68</v>
      </c>
      <c r="H14" t="s">
        <v>69</v>
      </c>
      <c r="I14" t="str">
        <f t="shared" si="1"/>
        <v>xavier.coic@berger-levrault.com</v>
      </c>
      <c r="J14" t="s">
        <v>5</v>
      </c>
      <c r="K14" t="str">
        <f t="shared" si="2"/>
        <v>karine raepsaet</v>
      </c>
      <c r="L14" t="s">
        <v>105</v>
      </c>
      <c r="M14" t="s">
        <v>67</v>
      </c>
      <c r="N14" t="s">
        <v>106</v>
      </c>
      <c r="O14" t="s">
        <v>68</v>
      </c>
      <c r="P14" t="s">
        <v>69</v>
      </c>
      <c r="Q14" t="str">
        <f t="shared" si="3"/>
        <v>karine.raepsaet@berger-levrault.com</v>
      </c>
    </row>
    <row r="15" spans="1:17" x14ac:dyDescent="0.25">
      <c r="A15">
        <v>14</v>
      </c>
      <c r="B15" t="s">
        <v>35</v>
      </c>
      <c r="C15" t="str">
        <f t="shared" si="0"/>
        <v>laurent cormier</v>
      </c>
      <c r="D15" t="s">
        <v>55</v>
      </c>
      <c r="E15" t="s">
        <v>67</v>
      </c>
      <c r="F15" t="s">
        <v>104</v>
      </c>
      <c r="G15" t="s">
        <v>68</v>
      </c>
      <c r="H15" t="s">
        <v>69</v>
      </c>
      <c r="I15" t="str">
        <f t="shared" si="1"/>
        <v>laurent.cormier@berger-levrault.com</v>
      </c>
      <c r="J15" t="s">
        <v>15</v>
      </c>
      <c r="K15" t="str">
        <f t="shared" si="2"/>
        <v>virginie malgoire</v>
      </c>
      <c r="L15" t="s">
        <v>70</v>
      </c>
      <c r="M15" t="s">
        <v>67</v>
      </c>
      <c r="N15" t="s">
        <v>109</v>
      </c>
      <c r="O15" t="s">
        <v>68</v>
      </c>
      <c r="P15" t="s">
        <v>69</v>
      </c>
      <c r="Q15" t="str">
        <f t="shared" si="3"/>
        <v>virginie.malgoire@berger-levrault.com</v>
      </c>
    </row>
    <row r="16" spans="1:17" x14ac:dyDescent="0.25">
      <c r="A16">
        <v>15</v>
      </c>
      <c r="B16" t="s">
        <v>34</v>
      </c>
      <c r="C16" t="str">
        <f t="shared" si="0"/>
        <v>amelie perez</v>
      </c>
      <c r="D16" t="s">
        <v>102</v>
      </c>
      <c r="E16" t="s">
        <v>67</v>
      </c>
      <c r="F16" t="s">
        <v>103</v>
      </c>
      <c r="G16" t="s">
        <v>68</v>
      </c>
      <c r="H16" t="s">
        <v>69</v>
      </c>
      <c r="I16" t="str">
        <f t="shared" si="1"/>
        <v>amelie.perez@berger-levrault.com</v>
      </c>
      <c r="J16" t="s">
        <v>9</v>
      </c>
      <c r="K16" t="str">
        <f t="shared" si="2"/>
        <v>virginie bortolon</v>
      </c>
      <c r="L16" t="s">
        <v>70</v>
      </c>
      <c r="M16" t="s">
        <v>67</v>
      </c>
      <c r="N16" t="s">
        <v>108</v>
      </c>
      <c r="O16" t="s">
        <v>68</v>
      </c>
      <c r="P16" t="s">
        <v>69</v>
      </c>
      <c r="Q16" t="str">
        <f t="shared" si="3"/>
        <v>virginie.bortolon@berger-levrault.com</v>
      </c>
    </row>
    <row r="17" spans="1:17" x14ac:dyDescent="0.25">
      <c r="A17">
        <v>16</v>
      </c>
      <c r="B17" t="s">
        <v>34</v>
      </c>
      <c r="C17" t="str">
        <f t="shared" si="0"/>
        <v>amelie perez</v>
      </c>
      <c r="D17" t="s">
        <v>102</v>
      </c>
      <c r="E17" t="s">
        <v>67</v>
      </c>
      <c r="F17" t="s">
        <v>103</v>
      </c>
      <c r="G17" t="s">
        <v>68</v>
      </c>
      <c r="H17" t="s">
        <v>69</v>
      </c>
      <c r="I17" t="str">
        <f t="shared" si="1"/>
        <v>amelie.perez@berger-levrault.com</v>
      </c>
      <c r="J17" t="s">
        <v>9</v>
      </c>
      <c r="K17" t="str">
        <f t="shared" si="2"/>
        <v>virginie bortolon</v>
      </c>
      <c r="L17" t="s">
        <v>70</v>
      </c>
      <c r="M17" t="s">
        <v>67</v>
      </c>
      <c r="N17" t="s">
        <v>108</v>
      </c>
      <c r="O17" t="s">
        <v>68</v>
      </c>
      <c r="P17" t="s">
        <v>69</v>
      </c>
      <c r="Q17" t="str">
        <f t="shared" si="3"/>
        <v>virginie.bortolon@berger-levrault.com</v>
      </c>
    </row>
    <row r="18" spans="1:17" x14ac:dyDescent="0.25">
      <c r="A18">
        <v>17</v>
      </c>
      <c r="B18" t="s">
        <v>34</v>
      </c>
      <c r="C18" t="str">
        <f t="shared" si="0"/>
        <v>amelie perez</v>
      </c>
      <c r="D18" t="s">
        <v>102</v>
      </c>
      <c r="E18" t="s">
        <v>67</v>
      </c>
      <c r="F18" t="s">
        <v>103</v>
      </c>
      <c r="G18" t="s">
        <v>68</v>
      </c>
      <c r="H18" t="s">
        <v>69</v>
      </c>
      <c r="I18" t="str">
        <f t="shared" si="1"/>
        <v>amelie.perez@berger-levrault.com</v>
      </c>
      <c r="J18" t="s">
        <v>9</v>
      </c>
      <c r="K18" t="str">
        <f t="shared" si="2"/>
        <v>virginie bortolon</v>
      </c>
      <c r="L18" t="s">
        <v>70</v>
      </c>
      <c r="M18" t="s">
        <v>67</v>
      </c>
      <c r="N18" t="s">
        <v>108</v>
      </c>
      <c r="O18" t="s">
        <v>68</v>
      </c>
      <c r="P18" t="s">
        <v>69</v>
      </c>
      <c r="Q18" t="str">
        <f t="shared" si="3"/>
        <v>virginie.bortolon@berger-levrault.com</v>
      </c>
    </row>
    <row r="19" spans="1:17" x14ac:dyDescent="0.25">
      <c r="A19">
        <v>18</v>
      </c>
      <c r="B19" t="s">
        <v>35</v>
      </c>
      <c r="C19" t="str">
        <f t="shared" si="0"/>
        <v>laurent cormier</v>
      </c>
      <c r="D19" t="s">
        <v>55</v>
      </c>
      <c r="E19" t="s">
        <v>67</v>
      </c>
      <c r="F19" t="s">
        <v>104</v>
      </c>
      <c r="G19" t="s">
        <v>68</v>
      </c>
      <c r="H19" t="s">
        <v>69</v>
      </c>
      <c r="I19" t="str">
        <f t="shared" si="1"/>
        <v>laurent.cormier@berger-levrault.com</v>
      </c>
      <c r="J19" t="s">
        <v>9</v>
      </c>
      <c r="K19" t="str">
        <f t="shared" si="2"/>
        <v>virginie bortolon</v>
      </c>
      <c r="L19" t="s">
        <v>70</v>
      </c>
      <c r="M19" t="s">
        <v>67</v>
      </c>
      <c r="N19" t="s">
        <v>108</v>
      </c>
      <c r="O19" t="s">
        <v>68</v>
      </c>
      <c r="P19" t="s">
        <v>69</v>
      </c>
      <c r="Q19" t="str">
        <f t="shared" si="3"/>
        <v>virginie.bortolon@berger-levrault.com</v>
      </c>
    </row>
    <row r="20" spans="1:17" x14ac:dyDescent="0.25">
      <c r="A20">
        <v>19</v>
      </c>
      <c r="B20" t="s">
        <v>34</v>
      </c>
      <c r="C20" t="str">
        <f t="shared" si="0"/>
        <v>amelie perez</v>
      </c>
      <c r="D20" t="s">
        <v>102</v>
      </c>
      <c r="E20" t="s">
        <v>67</v>
      </c>
      <c r="F20" t="s">
        <v>103</v>
      </c>
      <c r="G20" t="s">
        <v>68</v>
      </c>
      <c r="H20" t="s">
        <v>69</v>
      </c>
      <c r="I20" t="str">
        <f t="shared" si="1"/>
        <v>amelie.perez@berger-levrault.com</v>
      </c>
      <c r="J20" t="s">
        <v>9</v>
      </c>
      <c r="K20" t="str">
        <f t="shared" si="2"/>
        <v>virginie bortolon</v>
      </c>
      <c r="L20" t="s">
        <v>70</v>
      </c>
      <c r="M20" t="s">
        <v>67</v>
      </c>
      <c r="N20" t="s">
        <v>108</v>
      </c>
      <c r="O20" t="s">
        <v>68</v>
      </c>
      <c r="P20" t="s">
        <v>69</v>
      </c>
      <c r="Q20" t="str">
        <f t="shared" si="3"/>
        <v>virginie.bortolon@berger-levrault.com</v>
      </c>
    </row>
    <row r="21" spans="1:17" x14ac:dyDescent="0.25">
      <c r="A21">
        <v>20</v>
      </c>
      <c r="B21" t="s">
        <v>32</v>
      </c>
      <c r="C21" t="str">
        <f t="shared" si="0"/>
        <v>xavier coic</v>
      </c>
      <c r="D21" t="s">
        <v>98</v>
      </c>
      <c r="E21" t="s">
        <v>67</v>
      </c>
      <c r="F21" t="s">
        <v>99</v>
      </c>
      <c r="G21" t="s">
        <v>68</v>
      </c>
      <c r="H21" t="s">
        <v>69</v>
      </c>
      <c r="I21" t="str">
        <f t="shared" si="1"/>
        <v>xavier.coic@berger-levrault.com</v>
      </c>
      <c r="J21" t="s">
        <v>5</v>
      </c>
      <c r="K21" t="str">
        <f t="shared" si="2"/>
        <v>karine raepsaet</v>
      </c>
      <c r="L21" t="s">
        <v>105</v>
      </c>
      <c r="M21" t="s">
        <v>67</v>
      </c>
      <c r="N21" t="s">
        <v>106</v>
      </c>
      <c r="O21" t="s">
        <v>68</v>
      </c>
      <c r="P21" t="s">
        <v>69</v>
      </c>
      <c r="Q21" t="str">
        <f t="shared" si="3"/>
        <v>karine.raepsaet@berger-levrault.com</v>
      </c>
    </row>
    <row r="22" spans="1:17" x14ac:dyDescent="0.25">
      <c r="A22">
        <v>21</v>
      </c>
      <c r="B22" t="s">
        <v>32</v>
      </c>
      <c r="C22" t="str">
        <f t="shared" si="0"/>
        <v>xavier coic</v>
      </c>
      <c r="D22" t="s">
        <v>98</v>
      </c>
      <c r="E22" t="s">
        <v>67</v>
      </c>
      <c r="F22" t="s">
        <v>99</v>
      </c>
      <c r="G22" t="s">
        <v>68</v>
      </c>
      <c r="H22" t="s">
        <v>69</v>
      </c>
      <c r="I22" t="str">
        <f t="shared" si="1"/>
        <v>xavier.coic@berger-levrault.com</v>
      </c>
      <c r="J22" t="s">
        <v>9</v>
      </c>
      <c r="K22" t="str">
        <f t="shared" si="2"/>
        <v>virginie bortolon</v>
      </c>
      <c r="L22" t="s">
        <v>70</v>
      </c>
      <c r="M22" t="s">
        <v>67</v>
      </c>
      <c r="N22" t="s">
        <v>108</v>
      </c>
      <c r="O22" t="s">
        <v>68</v>
      </c>
      <c r="P22" t="s">
        <v>69</v>
      </c>
      <c r="Q22" t="str">
        <f t="shared" si="3"/>
        <v>virginie.bortolon@berger-levrault.com</v>
      </c>
    </row>
    <row r="23" spans="1:17" x14ac:dyDescent="0.25">
      <c r="A23">
        <v>22</v>
      </c>
      <c r="B23" t="s">
        <v>35</v>
      </c>
      <c r="C23" t="str">
        <f t="shared" si="0"/>
        <v>laurent cormier</v>
      </c>
      <c r="D23" t="s">
        <v>55</v>
      </c>
      <c r="E23" t="s">
        <v>67</v>
      </c>
      <c r="F23" t="s">
        <v>104</v>
      </c>
      <c r="G23" t="s">
        <v>68</v>
      </c>
      <c r="H23" t="s">
        <v>69</v>
      </c>
      <c r="I23" t="str">
        <f t="shared" si="1"/>
        <v>laurent.cormier@berger-levrault.com</v>
      </c>
      <c r="J23" t="s">
        <v>15</v>
      </c>
      <c r="K23" t="str">
        <f t="shared" si="2"/>
        <v>virginie malgoire</v>
      </c>
      <c r="L23" t="s">
        <v>70</v>
      </c>
      <c r="M23" t="s">
        <v>67</v>
      </c>
      <c r="N23" t="s">
        <v>109</v>
      </c>
      <c r="O23" t="s">
        <v>68</v>
      </c>
      <c r="P23" t="s">
        <v>69</v>
      </c>
      <c r="Q23" t="str">
        <f t="shared" si="3"/>
        <v>virginie.malgoire@berger-levrault.com</v>
      </c>
    </row>
    <row r="24" spans="1:17" x14ac:dyDescent="0.25">
      <c r="A24">
        <v>23</v>
      </c>
      <c r="B24" t="s">
        <v>34</v>
      </c>
      <c r="C24" t="str">
        <f t="shared" si="0"/>
        <v>amelie perez</v>
      </c>
      <c r="D24" t="s">
        <v>102</v>
      </c>
      <c r="E24" t="s">
        <v>67</v>
      </c>
      <c r="F24" t="s">
        <v>103</v>
      </c>
      <c r="G24" t="s">
        <v>68</v>
      </c>
      <c r="H24" t="s">
        <v>69</v>
      </c>
      <c r="I24" t="str">
        <f t="shared" si="1"/>
        <v>amelie.perez@berger-levrault.com</v>
      </c>
      <c r="J24" t="s">
        <v>9</v>
      </c>
      <c r="K24" t="str">
        <f t="shared" si="2"/>
        <v>virginie bortolon</v>
      </c>
      <c r="L24" t="s">
        <v>70</v>
      </c>
      <c r="M24" t="s">
        <v>67</v>
      </c>
      <c r="N24" t="s">
        <v>108</v>
      </c>
      <c r="O24" t="s">
        <v>68</v>
      </c>
      <c r="P24" t="s">
        <v>69</v>
      </c>
      <c r="Q24" t="str">
        <f t="shared" si="3"/>
        <v>virginie.bortolon@berger-levrault.com</v>
      </c>
    </row>
    <row r="25" spans="1:17" x14ac:dyDescent="0.25">
      <c r="A25">
        <v>24</v>
      </c>
      <c r="B25" t="s">
        <v>34</v>
      </c>
      <c r="C25" t="str">
        <f t="shared" si="0"/>
        <v>amelie perez</v>
      </c>
      <c r="D25" t="s">
        <v>102</v>
      </c>
      <c r="E25" t="s">
        <v>67</v>
      </c>
      <c r="F25" t="s">
        <v>103</v>
      </c>
      <c r="G25" t="s">
        <v>68</v>
      </c>
      <c r="H25" t="s">
        <v>69</v>
      </c>
      <c r="I25" t="str">
        <f t="shared" si="1"/>
        <v>amelie.perez@berger-levrault.com</v>
      </c>
      <c r="J25" t="s">
        <v>9</v>
      </c>
      <c r="K25" t="str">
        <f t="shared" si="2"/>
        <v>virginie bortolon</v>
      </c>
      <c r="L25" t="s">
        <v>70</v>
      </c>
      <c r="M25" t="s">
        <v>67</v>
      </c>
      <c r="N25" t="s">
        <v>108</v>
      </c>
      <c r="O25" t="s">
        <v>68</v>
      </c>
      <c r="P25" t="s">
        <v>69</v>
      </c>
      <c r="Q25" t="str">
        <f t="shared" si="3"/>
        <v>virginie.bortolon@berger-levrault.com</v>
      </c>
    </row>
    <row r="26" spans="1:17" x14ac:dyDescent="0.25">
      <c r="A26">
        <v>25</v>
      </c>
      <c r="B26" t="s">
        <v>32</v>
      </c>
      <c r="C26" t="str">
        <f t="shared" si="0"/>
        <v>xavier coic</v>
      </c>
      <c r="D26" t="s">
        <v>98</v>
      </c>
      <c r="E26" t="s">
        <v>67</v>
      </c>
      <c r="F26" t="s">
        <v>99</v>
      </c>
      <c r="G26" t="s">
        <v>68</v>
      </c>
      <c r="H26" t="s">
        <v>69</v>
      </c>
      <c r="I26" t="str">
        <f t="shared" si="1"/>
        <v>xavier.coic@berger-levrault.com</v>
      </c>
      <c r="J26" t="s">
        <v>5</v>
      </c>
      <c r="K26" t="str">
        <f t="shared" si="2"/>
        <v>karine raepsaet</v>
      </c>
      <c r="L26" t="s">
        <v>105</v>
      </c>
      <c r="M26" t="s">
        <v>67</v>
      </c>
      <c r="N26" t="s">
        <v>106</v>
      </c>
      <c r="O26" t="s">
        <v>68</v>
      </c>
      <c r="P26" t="s">
        <v>69</v>
      </c>
      <c r="Q26" t="str">
        <f t="shared" si="3"/>
        <v>karine.raepsaet@berger-levrault.com</v>
      </c>
    </row>
    <row r="27" spans="1:17" x14ac:dyDescent="0.25">
      <c r="A27">
        <v>26</v>
      </c>
      <c r="B27" t="s">
        <v>32</v>
      </c>
      <c r="C27" t="str">
        <f t="shared" si="0"/>
        <v>xavier coic</v>
      </c>
      <c r="D27" t="s">
        <v>98</v>
      </c>
      <c r="E27" t="s">
        <v>67</v>
      </c>
      <c r="F27" t="s">
        <v>99</v>
      </c>
      <c r="G27" t="s">
        <v>68</v>
      </c>
      <c r="H27" t="s">
        <v>69</v>
      </c>
      <c r="I27" t="str">
        <f t="shared" si="1"/>
        <v>xavier.coic@berger-levrault.com</v>
      </c>
      <c r="J27" t="s">
        <v>5</v>
      </c>
      <c r="K27" t="str">
        <f t="shared" si="2"/>
        <v>karine raepsaet</v>
      </c>
      <c r="L27" t="s">
        <v>105</v>
      </c>
      <c r="M27" t="s">
        <v>67</v>
      </c>
      <c r="N27" t="s">
        <v>106</v>
      </c>
      <c r="O27" t="s">
        <v>68</v>
      </c>
      <c r="P27" t="s">
        <v>69</v>
      </c>
      <c r="Q27" t="str">
        <f t="shared" si="3"/>
        <v>karine.raepsaet@berger-levrault.com</v>
      </c>
    </row>
    <row r="28" spans="1:17" x14ac:dyDescent="0.25">
      <c r="A28">
        <v>27</v>
      </c>
      <c r="B28" t="s">
        <v>35</v>
      </c>
      <c r="C28" t="str">
        <f t="shared" si="0"/>
        <v>laurent cormier</v>
      </c>
      <c r="D28" t="s">
        <v>55</v>
      </c>
      <c r="E28" t="s">
        <v>67</v>
      </c>
      <c r="F28" t="s">
        <v>104</v>
      </c>
      <c r="G28" t="s">
        <v>68</v>
      </c>
      <c r="H28" t="s">
        <v>69</v>
      </c>
      <c r="I28" t="str">
        <f t="shared" si="1"/>
        <v>laurent.cormier@berger-levrault.com</v>
      </c>
      <c r="J28" t="s">
        <v>15</v>
      </c>
      <c r="K28" t="str">
        <f t="shared" si="2"/>
        <v>virginie malgoire</v>
      </c>
      <c r="L28" t="s">
        <v>70</v>
      </c>
      <c r="M28" t="s">
        <v>67</v>
      </c>
      <c r="N28" t="s">
        <v>109</v>
      </c>
      <c r="O28" t="s">
        <v>68</v>
      </c>
      <c r="P28" t="s">
        <v>69</v>
      </c>
      <c r="Q28" t="str">
        <f t="shared" si="3"/>
        <v>virginie.malgoire@berger-levrault.com</v>
      </c>
    </row>
    <row r="29" spans="1:17" x14ac:dyDescent="0.25">
      <c r="A29">
        <v>28</v>
      </c>
      <c r="B29" t="s">
        <v>35</v>
      </c>
      <c r="C29" t="str">
        <f t="shared" si="0"/>
        <v>laurent cormier</v>
      </c>
      <c r="D29" t="s">
        <v>55</v>
      </c>
      <c r="E29" t="s">
        <v>67</v>
      </c>
      <c r="F29" t="s">
        <v>104</v>
      </c>
      <c r="G29" t="s">
        <v>68</v>
      </c>
      <c r="H29" t="s">
        <v>69</v>
      </c>
      <c r="I29" t="str">
        <f t="shared" si="1"/>
        <v>laurent.cormier@berger-levrault.com</v>
      </c>
      <c r="J29" t="s">
        <v>15</v>
      </c>
      <c r="K29" t="str">
        <f t="shared" si="2"/>
        <v>virginie malgoire</v>
      </c>
      <c r="L29" t="s">
        <v>70</v>
      </c>
      <c r="M29" t="s">
        <v>67</v>
      </c>
      <c r="N29" t="s">
        <v>109</v>
      </c>
      <c r="O29" t="s">
        <v>68</v>
      </c>
      <c r="P29" t="s">
        <v>69</v>
      </c>
      <c r="Q29" t="str">
        <f t="shared" si="3"/>
        <v>virginie.malgoire@berger-levrault.com</v>
      </c>
    </row>
    <row r="30" spans="1:17" x14ac:dyDescent="0.25">
      <c r="A30">
        <v>29</v>
      </c>
      <c r="B30" t="s">
        <v>35</v>
      </c>
      <c r="C30" t="str">
        <f t="shared" si="0"/>
        <v>laurent cormier</v>
      </c>
      <c r="D30" t="s">
        <v>55</v>
      </c>
      <c r="E30" t="s">
        <v>67</v>
      </c>
      <c r="F30" t="s">
        <v>104</v>
      </c>
      <c r="G30" t="s">
        <v>68</v>
      </c>
      <c r="H30" t="s">
        <v>69</v>
      </c>
      <c r="I30" t="str">
        <f t="shared" si="1"/>
        <v>laurent.cormier@berger-levrault.com</v>
      </c>
      <c r="J30" t="s">
        <v>15</v>
      </c>
      <c r="K30" t="str">
        <f t="shared" si="2"/>
        <v>virginie malgoire</v>
      </c>
      <c r="L30" t="s">
        <v>70</v>
      </c>
      <c r="M30" t="s">
        <v>67</v>
      </c>
      <c r="N30" t="s">
        <v>109</v>
      </c>
      <c r="O30" t="s">
        <v>68</v>
      </c>
      <c r="P30" t="s">
        <v>69</v>
      </c>
      <c r="Q30" t="str">
        <f t="shared" si="3"/>
        <v>virginie.malgoire@berger-levrault.com</v>
      </c>
    </row>
    <row r="31" spans="1:17" x14ac:dyDescent="0.25">
      <c r="A31">
        <v>30</v>
      </c>
      <c r="B31" t="s">
        <v>32</v>
      </c>
      <c r="C31" t="str">
        <f t="shared" si="0"/>
        <v>xavier coic</v>
      </c>
      <c r="D31" t="s">
        <v>98</v>
      </c>
      <c r="E31" t="s">
        <v>67</v>
      </c>
      <c r="F31" t="s">
        <v>99</v>
      </c>
      <c r="G31" t="s">
        <v>68</v>
      </c>
      <c r="H31" t="s">
        <v>69</v>
      </c>
      <c r="I31" t="str">
        <f t="shared" si="1"/>
        <v>xavier.coic@berger-levrault.com</v>
      </c>
      <c r="J31" t="s">
        <v>9</v>
      </c>
      <c r="K31" t="str">
        <f t="shared" si="2"/>
        <v>virginie bortolon</v>
      </c>
      <c r="L31" t="s">
        <v>70</v>
      </c>
      <c r="M31" t="s">
        <v>67</v>
      </c>
      <c r="N31" t="s">
        <v>108</v>
      </c>
      <c r="O31" t="s">
        <v>68</v>
      </c>
      <c r="P31" t="s">
        <v>69</v>
      </c>
      <c r="Q31" t="str">
        <f t="shared" si="3"/>
        <v>virginie.bortolon@berger-levrault.com</v>
      </c>
    </row>
    <row r="32" spans="1:17" x14ac:dyDescent="0.25">
      <c r="A32">
        <v>31</v>
      </c>
      <c r="B32" t="s">
        <v>34</v>
      </c>
      <c r="C32" t="str">
        <f t="shared" si="0"/>
        <v>amelie perez</v>
      </c>
      <c r="D32" t="s">
        <v>102</v>
      </c>
      <c r="E32" t="s">
        <v>67</v>
      </c>
      <c r="F32" t="s">
        <v>103</v>
      </c>
      <c r="G32" t="s">
        <v>68</v>
      </c>
      <c r="H32" t="s">
        <v>69</v>
      </c>
      <c r="I32" t="str">
        <f t="shared" si="1"/>
        <v>amelie.perez@berger-levrault.com</v>
      </c>
      <c r="J32" t="s">
        <v>9</v>
      </c>
      <c r="K32" t="str">
        <f t="shared" si="2"/>
        <v>virginie bortolon</v>
      </c>
      <c r="L32" t="s">
        <v>70</v>
      </c>
      <c r="M32" t="s">
        <v>67</v>
      </c>
      <c r="N32" t="s">
        <v>108</v>
      </c>
      <c r="O32" t="s">
        <v>68</v>
      </c>
      <c r="P32" t="s">
        <v>69</v>
      </c>
      <c r="Q32" t="str">
        <f t="shared" si="3"/>
        <v>virginie.bortolon@berger-levrault.com</v>
      </c>
    </row>
    <row r="33" spans="1:17" x14ac:dyDescent="0.25">
      <c r="A33">
        <v>32</v>
      </c>
      <c r="B33" t="s">
        <v>34</v>
      </c>
      <c r="C33" t="str">
        <f t="shared" si="0"/>
        <v>amelie perez</v>
      </c>
      <c r="D33" t="s">
        <v>102</v>
      </c>
      <c r="E33" t="s">
        <v>67</v>
      </c>
      <c r="F33" t="s">
        <v>103</v>
      </c>
      <c r="G33" t="s">
        <v>68</v>
      </c>
      <c r="H33" t="s">
        <v>69</v>
      </c>
      <c r="I33" t="str">
        <f t="shared" si="1"/>
        <v>amelie.perez@berger-levrault.com</v>
      </c>
      <c r="J33" t="s">
        <v>9</v>
      </c>
      <c r="K33" t="str">
        <f t="shared" si="2"/>
        <v>virginie bortolon</v>
      </c>
      <c r="L33" t="s">
        <v>70</v>
      </c>
      <c r="M33" t="s">
        <v>67</v>
      </c>
      <c r="N33" t="s">
        <v>108</v>
      </c>
      <c r="O33" t="s">
        <v>68</v>
      </c>
      <c r="P33" t="s">
        <v>69</v>
      </c>
      <c r="Q33" t="str">
        <f t="shared" si="3"/>
        <v>virginie.bortolon@berger-levrault.com</v>
      </c>
    </row>
    <row r="34" spans="1:17" x14ac:dyDescent="0.25">
      <c r="A34">
        <v>33</v>
      </c>
      <c r="B34" t="s">
        <v>34</v>
      </c>
      <c r="C34" t="str">
        <f t="shared" si="0"/>
        <v>amelie perez</v>
      </c>
      <c r="D34" t="s">
        <v>102</v>
      </c>
      <c r="E34" t="s">
        <v>67</v>
      </c>
      <c r="F34" t="s">
        <v>103</v>
      </c>
      <c r="G34" t="s">
        <v>68</v>
      </c>
      <c r="H34" t="s">
        <v>69</v>
      </c>
      <c r="I34" t="str">
        <f t="shared" si="1"/>
        <v>amelie.perez@berger-levrault.com</v>
      </c>
      <c r="J34" t="s">
        <v>9</v>
      </c>
      <c r="K34" t="str">
        <f t="shared" si="2"/>
        <v>virginie bortolon</v>
      </c>
      <c r="L34" t="s">
        <v>70</v>
      </c>
      <c r="M34" t="s">
        <v>67</v>
      </c>
      <c r="N34" t="s">
        <v>108</v>
      </c>
      <c r="O34" t="s">
        <v>68</v>
      </c>
      <c r="P34" t="s">
        <v>69</v>
      </c>
      <c r="Q34" t="str">
        <f t="shared" si="3"/>
        <v>virginie.bortolon@berger-levrault.com</v>
      </c>
    </row>
    <row r="35" spans="1:17" x14ac:dyDescent="0.25">
      <c r="A35">
        <v>34</v>
      </c>
      <c r="B35" t="s">
        <v>34</v>
      </c>
      <c r="C35" t="str">
        <f t="shared" si="0"/>
        <v>amelie perez</v>
      </c>
      <c r="D35" t="s">
        <v>102</v>
      </c>
      <c r="E35" t="s">
        <v>67</v>
      </c>
      <c r="F35" t="s">
        <v>103</v>
      </c>
      <c r="G35" t="s">
        <v>68</v>
      </c>
      <c r="H35" t="s">
        <v>69</v>
      </c>
      <c r="I35" t="str">
        <f t="shared" si="1"/>
        <v>amelie.perez@berger-levrault.com</v>
      </c>
      <c r="J35" t="s">
        <v>9</v>
      </c>
      <c r="K35" t="str">
        <f t="shared" si="2"/>
        <v>virginie bortolon</v>
      </c>
      <c r="L35" t="s">
        <v>70</v>
      </c>
      <c r="M35" t="s">
        <v>67</v>
      </c>
      <c r="N35" t="s">
        <v>108</v>
      </c>
      <c r="O35" t="s">
        <v>68</v>
      </c>
      <c r="P35" t="s">
        <v>69</v>
      </c>
      <c r="Q35" t="str">
        <f t="shared" si="3"/>
        <v>virginie.bortolon@berger-levrault.com</v>
      </c>
    </row>
    <row r="36" spans="1:17" x14ac:dyDescent="0.25">
      <c r="A36">
        <v>35</v>
      </c>
      <c r="B36" t="s">
        <v>35</v>
      </c>
      <c r="C36" t="str">
        <f t="shared" si="0"/>
        <v>laurent cormier</v>
      </c>
      <c r="D36" t="s">
        <v>55</v>
      </c>
      <c r="E36" t="s">
        <v>67</v>
      </c>
      <c r="F36" t="s">
        <v>104</v>
      </c>
      <c r="G36" t="s">
        <v>68</v>
      </c>
      <c r="H36" t="s">
        <v>69</v>
      </c>
      <c r="I36" t="str">
        <f t="shared" si="1"/>
        <v>laurent.cormier@berger-levrault.com</v>
      </c>
      <c r="J36" t="s">
        <v>15</v>
      </c>
      <c r="K36" t="str">
        <f t="shared" si="2"/>
        <v>virginie malgoire</v>
      </c>
      <c r="L36" t="s">
        <v>70</v>
      </c>
      <c r="M36" t="s">
        <v>67</v>
      </c>
      <c r="N36" t="s">
        <v>109</v>
      </c>
      <c r="O36" t="s">
        <v>68</v>
      </c>
      <c r="P36" t="s">
        <v>69</v>
      </c>
      <c r="Q36" t="str">
        <f t="shared" si="3"/>
        <v>virginie.malgoire@berger-levrault.com</v>
      </c>
    </row>
    <row r="37" spans="1:17" x14ac:dyDescent="0.25">
      <c r="A37">
        <v>36</v>
      </c>
      <c r="B37" t="s">
        <v>35</v>
      </c>
      <c r="C37" t="str">
        <f t="shared" si="0"/>
        <v>laurent cormier</v>
      </c>
      <c r="D37" t="s">
        <v>55</v>
      </c>
      <c r="E37" t="s">
        <v>67</v>
      </c>
      <c r="F37" t="s">
        <v>104</v>
      </c>
      <c r="G37" t="s">
        <v>68</v>
      </c>
      <c r="H37" t="s">
        <v>69</v>
      </c>
      <c r="I37" t="str">
        <f t="shared" si="1"/>
        <v>laurent.cormier@berger-levrault.com</v>
      </c>
      <c r="J37" t="s">
        <v>15</v>
      </c>
      <c r="K37" t="str">
        <f t="shared" si="2"/>
        <v>virginie malgoire</v>
      </c>
      <c r="L37" t="s">
        <v>70</v>
      </c>
      <c r="M37" t="s">
        <v>67</v>
      </c>
      <c r="N37" t="s">
        <v>109</v>
      </c>
      <c r="O37" t="s">
        <v>68</v>
      </c>
      <c r="P37" t="s">
        <v>69</v>
      </c>
      <c r="Q37" t="str">
        <f t="shared" si="3"/>
        <v>virginie.malgoire@berger-levrault.com</v>
      </c>
    </row>
    <row r="38" spans="1:17" x14ac:dyDescent="0.25">
      <c r="A38">
        <v>37</v>
      </c>
      <c r="B38" t="s">
        <v>35</v>
      </c>
      <c r="C38" t="str">
        <f t="shared" si="0"/>
        <v>laurent cormier</v>
      </c>
      <c r="D38" t="s">
        <v>55</v>
      </c>
      <c r="E38" t="s">
        <v>67</v>
      </c>
      <c r="F38" t="s">
        <v>104</v>
      </c>
      <c r="G38" t="s">
        <v>68</v>
      </c>
      <c r="H38" t="s">
        <v>69</v>
      </c>
      <c r="I38" t="str">
        <f t="shared" si="1"/>
        <v>laurent.cormier@berger-levrault.com</v>
      </c>
      <c r="J38" t="s">
        <v>15</v>
      </c>
      <c r="K38" t="str">
        <f t="shared" si="2"/>
        <v>virginie malgoire</v>
      </c>
      <c r="L38" t="s">
        <v>70</v>
      </c>
      <c r="M38" t="s">
        <v>67</v>
      </c>
      <c r="N38" t="s">
        <v>109</v>
      </c>
      <c r="O38" t="s">
        <v>68</v>
      </c>
      <c r="P38" t="s">
        <v>69</v>
      </c>
      <c r="Q38" t="str">
        <f t="shared" si="3"/>
        <v>virginie.malgoire@berger-levrault.com</v>
      </c>
    </row>
    <row r="39" spans="1:17" x14ac:dyDescent="0.25">
      <c r="A39">
        <v>38</v>
      </c>
      <c r="B39" t="s">
        <v>32</v>
      </c>
      <c r="C39" t="str">
        <f t="shared" si="0"/>
        <v>xavier coic</v>
      </c>
      <c r="D39" t="s">
        <v>98</v>
      </c>
      <c r="E39" t="s">
        <v>67</v>
      </c>
      <c r="F39" t="s">
        <v>99</v>
      </c>
      <c r="G39" t="s">
        <v>68</v>
      </c>
      <c r="H39" t="s">
        <v>69</v>
      </c>
      <c r="I39" t="str">
        <f t="shared" si="1"/>
        <v>xavier.coic@berger-levrault.com</v>
      </c>
      <c r="J39" t="s">
        <v>5</v>
      </c>
      <c r="K39" t="str">
        <f t="shared" si="2"/>
        <v>karine raepsaet</v>
      </c>
      <c r="L39" t="s">
        <v>105</v>
      </c>
      <c r="M39" t="s">
        <v>67</v>
      </c>
      <c r="N39" t="s">
        <v>106</v>
      </c>
      <c r="O39" t="s">
        <v>68</v>
      </c>
      <c r="P39" t="s">
        <v>69</v>
      </c>
      <c r="Q39" t="str">
        <f t="shared" si="3"/>
        <v>karine.raepsaet@berger-levrault.com</v>
      </c>
    </row>
    <row r="40" spans="1:17" x14ac:dyDescent="0.25">
      <c r="A40">
        <v>39</v>
      </c>
      <c r="B40" t="s">
        <v>32</v>
      </c>
      <c r="C40" t="str">
        <f t="shared" si="0"/>
        <v>xavier coic</v>
      </c>
      <c r="D40" t="s">
        <v>98</v>
      </c>
      <c r="E40" t="s">
        <v>67</v>
      </c>
      <c r="F40" t="s">
        <v>99</v>
      </c>
      <c r="G40" t="s">
        <v>68</v>
      </c>
      <c r="H40" t="s">
        <v>69</v>
      </c>
      <c r="I40" t="str">
        <f t="shared" si="1"/>
        <v>xavier.coic@berger-levrault.com</v>
      </c>
      <c r="J40" t="s">
        <v>5</v>
      </c>
      <c r="K40" t="str">
        <f t="shared" si="2"/>
        <v>karine raepsaet</v>
      </c>
      <c r="L40" t="s">
        <v>105</v>
      </c>
      <c r="M40" t="s">
        <v>67</v>
      </c>
      <c r="N40" t="s">
        <v>106</v>
      </c>
      <c r="O40" t="s">
        <v>68</v>
      </c>
      <c r="P40" t="s">
        <v>69</v>
      </c>
      <c r="Q40" t="str">
        <f t="shared" si="3"/>
        <v>karine.raepsaet@berger-levrault.com</v>
      </c>
    </row>
    <row r="41" spans="1:17" x14ac:dyDescent="0.25">
      <c r="A41">
        <v>40</v>
      </c>
      <c r="B41" t="s">
        <v>34</v>
      </c>
      <c r="C41" t="str">
        <f t="shared" si="0"/>
        <v>amelie perez</v>
      </c>
      <c r="D41" t="s">
        <v>102</v>
      </c>
      <c r="E41" t="s">
        <v>67</v>
      </c>
      <c r="F41" t="s">
        <v>103</v>
      </c>
      <c r="G41" t="s">
        <v>68</v>
      </c>
      <c r="H41" t="s">
        <v>69</v>
      </c>
      <c r="I41" t="str">
        <f t="shared" si="1"/>
        <v>amelie.perez@berger-levrault.com</v>
      </c>
      <c r="J41" t="s">
        <v>9</v>
      </c>
      <c r="K41" t="str">
        <f t="shared" si="2"/>
        <v>virginie bortolon</v>
      </c>
      <c r="L41" t="s">
        <v>70</v>
      </c>
      <c r="M41" t="s">
        <v>67</v>
      </c>
      <c r="N41" t="s">
        <v>108</v>
      </c>
      <c r="O41" t="s">
        <v>68</v>
      </c>
      <c r="P41" t="s">
        <v>69</v>
      </c>
      <c r="Q41" t="str">
        <f t="shared" si="3"/>
        <v>virginie.bortolon@berger-levrault.com</v>
      </c>
    </row>
    <row r="42" spans="1:17" x14ac:dyDescent="0.25">
      <c r="A42">
        <v>41</v>
      </c>
      <c r="B42" t="s">
        <v>35</v>
      </c>
      <c r="C42" t="str">
        <f t="shared" si="0"/>
        <v>laurent cormier</v>
      </c>
      <c r="D42" t="s">
        <v>55</v>
      </c>
      <c r="E42" t="s">
        <v>67</v>
      </c>
      <c r="F42" t="s">
        <v>104</v>
      </c>
      <c r="G42" t="s">
        <v>68</v>
      </c>
      <c r="H42" t="s">
        <v>69</v>
      </c>
      <c r="I42" t="str">
        <f t="shared" si="1"/>
        <v>laurent.cormier@berger-levrault.com</v>
      </c>
      <c r="J42" t="s">
        <v>15</v>
      </c>
      <c r="K42" t="str">
        <f t="shared" si="2"/>
        <v>virginie malgoire</v>
      </c>
      <c r="L42" t="s">
        <v>70</v>
      </c>
      <c r="M42" t="s">
        <v>67</v>
      </c>
      <c r="N42" t="s">
        <v>109</v>
      </c>
      <c r="O42" t="s">
        <v>68</v>
      </c>
      <c r="P42" t="s">
        <v>69</v>
      </c>
      <c r="Q42" t="str">
        <f t="shared" si="3"/>
        <v>virginie.malgoire@berger-levrault.com</v>
      </c>
    </row>
    <row r="43" spans="1:17" x14ac:dyDescent="0.25">
      <c r="A43">
        <v>42</v>
      </c>
      <c r="B43" t="s">
        <v>34</v>
      </c>
      <c r="C43" t="str">
        <f t="shared" si="0"/>
        <v>amelie perez</v>
      </c>
      <c r="D43" t="s">
        <v>102</v>
      </c>
      <c r="E43" t="s">
        <v>67</v>
      </c>
      <c r="F43" t="s">
        <v>103</v>
      </c>
      <c r="G43" t="s">
        <v>68</v>
      </c>
      <c r="H43" t="s">
        <v>69</v>
      </c>
      <c r="I43" t="str">
        <f t="shared" si="1"/>
        <v>amelie.perez@berger-levrault.com</v>
      </c>
      <c r="J43" t="s">
        <v>5</v>
      </c>
      <c r="K43" t="str">
        <f t="shared" si="2"/>
        <v>karine raepsaet</v>
      </c>
      <c r="L43" t="s">
        <v>105</v>
      </c>
      <c r="M43" t="s">
        <v>67</v>
      </c>
      <c r="N43" t="s">
        <v>106</v>
      </c>
      <c r="O43" t="s">
        <v>68</v>
      </c>
      <c r="P43" t="s">
        <v>69</v>
      </c>
      <c r="Q43" t="str">
        <f t="shared" si="3"/>
        <v>karine.raepsaet@berger-levrault.com</v>
      </c>
    </row>
    <row r="44" spans="1:17" x14ac:dyDescent="0.25">
      <c r="A44">
        <v>43</v>
      </c>
      <c r="B44" t="s">
        <v>34</v>
      </c>
      <c r="C44" t="str">
        <f t="shared" si="0"/>
        <v>amelie perez</v>
      </c>
      <c r="D44" t="s">
        <v>102</v>
      </c>
      <c r="E44" t="s">
        <v>67</v>
      </c>
      <c r="F44" t="s">
        <v>103</v>
      </c>
      <c r="G44" t="s">
        <v>68</v>
      </c>
      <c r="H44" t="s">
        <v>69</v>
      </c>
      <c r="I44" t="str">
        <f t="shared" si="1"/>
        <v>amelie.perez@berger-levrault.com</v>
      </c>
      <c r="J44" t="s">
        <v>9</v>
      </c>
      <c r="K44" t="str">
        <f t="shared" si="2"/>
        <v>virginie bortolon</v>
      </c>
      <c r="L44" t="s">
        <v>70</v>
      </c>
      <c r="M44" t="s">
        <v>67</v>
      </c>
      <c r="N44" t="s">
        <v>108</v>
      </c>
      <c r="O44" t="s">
        <v>68</v>
      </c>
      <c r="P44" t="s">
        <v>69</v>
      </c>
      <c r="Q44" t="str">
        <f t="shared" si="3"/>
        <v>virginie.bortolon@berger-levrault.com</v>
      </c>
    </row>
    <row r="45" spans="1:17" x14ac:dyDescent="0.25">
      <c r="A45">
        <v>44</v>
      </c>
      <c r="B45" t="s">
        <v>35</v>
      </c>
      <c r="C45" t="str">
        <f t="shared" si="0"/>
        <v>laurent cormier</v>
      </c>
      <c r="D45" t="s">
        <v>55</v>
      </c>
      <c r="E45" t="s">
        <v>67</v>
      </c>
      <c r="F45" t="s">
        <v>104</v>
      </c>
      <c r="G45" t="s">
        <v>68</v>
      </c>
      <c r="H45" t="s">
        <v>69</v>
      </c>
      <c r="I45" t="str">
        <f t="shared" si="1"/>
        <v>laurent.cormier@berger-levrault.com</v>
      </c>
      <c r="J45" t="s">
        <v>15</v>
      </c>
      <c r="K45" t="str">
        <f t="shared" si="2"/>
        <v>virginie malgoire</v>
      </c>
      <c r="L45" t="s">
        <v>70</v>
      </c>
      <c r="M45" t="s">
        <v>67</v>
      </c>
      <c r="N45" t="s">
        <v>109</v>
      </c>
      <c r="O45" t="s">
        <v>68</v>
      </c>
      <c r="P45" t="s">
        <v>69</v>
      </c>
      <c r="Q45" t="str">
        <f t="shared" si="3"/>
        <v>virginie.malgoire@berger-levrault.com</v>
      </c>
    </row>
    <row r="46" spans="1:17" x14ac:dyDescent="0.25">
      <c r="A46">
        <v>45</v>
      </c>
      <c r="B46" t="s">
        <v>35</v>
      </c>
      <c r="C46" t="str">
        <f t="shared" si="0"/>
        <v>laurent cormier</v>
      </c>
      <c r="D46" t="s">
        <v>55</v>
      </c>
      <c r="E46" t="s">
        <v>67</v>
      </c>
      <c r="F46" t="s">
        <v>104</v>
      </c>
      <c r="G46" t="s">
        <v>68</v>
      </c>
      <c r="H46" t="s">
        <v>69</v>
      </c>
      <c r="I46" t="str">
        <f t="shared" si="1"/>
        <v>laurent.cormier@berger-levrault.com</v>
      </c>
      <c r="J46" t="s">
        <v>15</v>
      </c>
      <c r="K46" t="str">
        <f t="shared" si="2"/>
        <v>virginie malgoire</v>
      </c>
      <c r="L46" t="s">
        <v>70</v>
      </c>
      <c r="M46" t="s">
        <v>67</v>
      </c>
      <c r="N46" t="s">
        <v>109</v>
      </c>
      <c r="O46" t="s">
        <v>68</v>
      </c>
      <c r="P46" t="s">
        <v>69</v>
      </c>
      <c r="Q46" t="str">
        <f t="shared" si="3"/>
        <v>virginie.malgoire@berger-levrault.com</v>
      </c>
    </row>
    <row r="47" spans="1:17" x14ac:dyDescent="0.25">
      <c r="A47">
        <v>46</v>
      </c>
      <c r="B47" t="s">
        <v>34</v>
      </c>
      <c r="C47" t="str">
        <f t="shared" si="0"/>
        <v>amelie perez</v>
      </c>
      <c r="D47" t="s">
        <v>102</v>
      </c>
      <c r="E47" t="s">
        <v>67</v>
      </c>
      <c r="F47" t="s">
        <v>103</v>
      </c>
      <c r="G47" t="s">
        <v>68</v>
      </c>
      <c r="H47" t="s">
        <v>69</v>
      </c>
      <c r="I47" t="str">
        <f t="shared" si="1"/>
        <v>amelie.perez@berger-levrault.com</v>
      </c>
      <c r="J47" t="s">
        <v>9</v>
      </c>
      <c r="K47" t="str">
        <f t="shared" si="2"/>
        <v>virginie bortolon</v>
      </c>
      <c r="L47" t="s">
        <v>70</v>
      </c>
      <c r="M47" t="s">
        <v>67</v>
      </c>
      <c r="N47" t="s">
        <v>108</v>
      </c>
      <c r="O47" t="s">
        <v>68</v>
      </c>
      <c r="P47" t="s">
        <v>69</v>
      </c>
      <c r="Q47" t="str">
        <f t="shared" si="3"/>
        <v>virginie.bortolon@berger-levrault.com</v>
      </c>
    </row>
    <row r="48" spans="1:17" x14ac:dyDescent="0.25">
      <c r="A48">
        <v>47</v>
      </c>
      <c r="B48" t="s">
        <v>34</v>
      </c>
      <c r="C48" t="str">
        <f t="shared" si="0"/>
        <v>amelie perez</v>
      </c>
      <c r="D48" t="s">
        <v>102</v>
      </c>
      <c r="E48" t="s">
        <v>67</v>
      </c>
      <c r="F48" t="s">
        <v>103</v>
      </c>
      <c r="G48" t="s">
        <v>68</v>
      </c>
      <c r="H48" t="s">
        <v>69</v>
      </c>
      <c r="I48" t="str">
        <f t="shared" si="1"/>
        <v>amelie.perez@berger-levrault.com</v>
      </c>
      <c r="J48" t="s">
        <v>9</v>
      </c>
      <c r="K48" t="str">
        <f t="shared" si="2"/>
        <v>virginie bortolon</v>
      </c>
      <c r="L48" t="s">
        <v>70</v>
      </c>
      <c r="M48" t="s">
        <v>67</v>
      </c>
      <c r="N48" t="s">
        <v>108</v>
      </c>
      <c r="O48" t="s">
        <v>68</v>
      </c>
      <c r="P48" t="s">
        <v>69</v>
      </c>
      <c r="Q48" t="str">
        <f t="shared" si="3"/>
        <v>virginie.bortolon@berger-levrault.com</v>
      </c>
    </row>
    <row r="49" spans="1:17" x14ac:dyDescent="0.25">
      <c r="A49">
        <v>48</v>
      </c>
      <c r="B49" t="s">
        <v>34</v>
      </c>
      <c r="C49" t="str">
        <f t="shared" si="0"/>
        <v>amelie perez</v>
      </c>
      <c r="D49" t="s">
        <v>102</v>
      </c>
      <c r="E49" t="s">
        <v>67</v>
      </c>
      <c r="F49" t="s">
        <v>103</v>
      </c>
      <c r="G49" t="s">
        <v>68</v>
      </c>
      <c r="H49" t="s">
        <v>69</v>
      </c>
      <c r="I49" t="str">
        <f t="shared" si="1"/>
        <v>amelie.perez@berger-levrault.com</v>
      </c>
      <c r="J49" t="s">
        <v>9</v>
      </c>
      <c r="K49" t="str">
        <f t="shared" si="2"/>
        <v>virginie bortolon</v>
      </c>
      <c r="L49" t="s">
        <v>70</v>
      </c>
      <c r="M49" t="s">
        <v>67</v>
      </c>
      <c r="N49" t="s">
        <v>108</v>
      </c>
      <c r="O49" t="s">
        <v>68</v>
      </c>
      <c r="P49" t="s">
        <v>69</v>
      </c>
      <c r="Q49" t="str">
        <f t="shared" si="3"/>
        <v>virginie.bortolon@berger-levrault.com</v>
      </c>
    </row>
    <row r="50" spans="1:17" x14ac:dyDescent="0.25">
      <c r="A50">
        <v>49</v>
      </c>
      <c r="B50" t="s">
        <v>35</v>
      </c>
      <c r="C50" t="str">
        <f t="shared" si="0"/>
        <v>laurent cormier</v>
      </c>
      <c r="D50" t="s">
        <v>55</v>
      </c>
      <c r="E50" t="s">
        <v>67</v>
      </c>
      <c r="F50" t="s">
        <v>104</v>
      </c>
      <c r="G50" t="s">
        <v>68</v>
      </c>
      <c r="H50" t="s">
        <v>69</v>
      </c>
      <c r="I50" t="str">
        <f t="shared" si="1"/>
        <v>laurent.cormier@berger-levrault.com</v>
      </c>
      <c r="J50" t="s">
        <v>15</v>
      </c>
      <c r="K50" t="str">
        <f t="shared" si="2"/>
        <v>virginie malgoire</v>
      </c>
      <c r="L50" t="s">
        <v>70</v>
      </c>
      <c r="M50" t="s">
        <v>67</v>
      </c>
      <c r="N50" t="s">
        <v>109</v>
      </c>
      <c r="O50" t="s">
        <v>68</v>
      </c>
      <c r="P50" t="s">
        <v>69</v>
      </c>
      <c r="Q50" t="str">
        <f t="shared" si="3"/>
        <v>virginie.malgoire@berger-levrault.com</v>
      </c>
    </row>
    <row r="51" spans="1:17" x14ac:dyDescent="0.25">
      <c r="A51">
        <v>50</v>
      </c>
      <c r="B51" t="s">
        <v>35</v>
      </c>
      <c r="C51" t="str">
        <f t="shared" si="0"/>
        <v>laurent cormier</v>
      </c>
      <c r="D51" t="s">
        <v>55</v>
      </c>
      <c r="E51" t="s">
        <v>67</v>
      </c>
      <c r="F51" t="s">
        <v>104</v>
      </c>
      <c r="G51" t="s">
        <v>68</v>
      </c>
      <c r="H51" t="s">
        <v>69</v>
      </c>
      <c r="I51" t="str">
        <f t="shared" si="1"/>
        <v>laurent.cormier@berger-levrault.com</v>
      </c>
      <c r="J51" t="s">
        <v>15</v>
      </c>
      <c r="K51" t="str">
        <f t="shared" si="2"/>
        <v>virginie malgoire</v>
      </c>
      <c r="L51" t="s">
        <v>70</v>
      </c>
      <c r="M51" t="s">
        <v>67</v>
      </c>
      <c r="N51" t="s">
        <v>109</v>
      </c>
      <c r="O51" t="s">
        <v>68</v>
      </c>
      <c r="P51" t="s">
        <v>69</v>
      </c>
      <c r="Q51" t="str">
        <f t="shared" si="3"/>
        <v>virginie.malgoire@berger-levrault.com</v>
      </c>
    </row>
    <row r="52" spans="1:17" x14ac:dyDescent="0.25">
      <c r="A52">
        <v>51</v>
      </c>
      <c r="B52" t="s">
        <v>33</v>
      </c>
      <c r="C52" t="str">
        <f t="shared" si="0"/>
        <v>gerard minnaert</v>
      </c>
      <c r="D52" t="s">
        <v>100</v>
      </c>
      <c r="E52" t="s">
        <v>67</v>
      </c>
      <c r="F52" t="s">
        <v>101</v>
      </c>
      <c r="G52" t="s">
        <v>68</v>
      </c>
      <c r="H52" t="s">
        <v>69</v>
      </c>
      <c r="I52" t="str">
        <f t="shared" si="1"/>
        <v>gerard.minnaert@berger-levrault.com</v>
      </c>
      <c r="J52" t="s">
        <v>7</v>
      </c>
      <c r="K52" t="str">
        <f t="shared" si="2"/>
        <v>marie-laure tressol gracia</v>
      </c>
      <c r="L52" t="s">
        <v>107</v>
      </c>
      <c r="M52" t="s">
        <v>67</v>
      </c>
      <c r="N52" t="s">
        <v>111</v>
      </c>
      <c r="O52" t="s">
        <v>68</v>
      </c>
      <c r="P52" t="s">
        <v>69</v>
      </c>
      <c r="Q52" t="str">
        <f t="shared" si="3"/>
        <v>marie-laure.tressolgracia@berger-levrault.com</v>
      </c>
    </row>
    <row r="53" spans="1:17" x14ac:dyDescent="0.25">
      <c r="A53">
        <v>52</v>
      </c>
      <c r="B53" t="s">
        <v>33</v>
      </c>
      <c r="C53" t="str">
        <f t="shared" si="0"/>
        <v>gerard minnaert</v>
      </c>
      <c r="D53" t="s">
        <v>100</v>
      </c>
      <c r="E53" t="s">
        <v>67</v>
      </c>
      <c r="F53" t="s">
        <v>101</v>
      </c>
      <c r="G53" t="s">
        <v>68</v>
      </c>
      <c r="H53" t="s">
        <v>69</v>
      </c>
      <c r="I53" t="str">
        <f t="shared" si="1"/>
        <v>gerard.minnaert@berger-levrault.com</v>
      </c>
      <c r="J53" t="s">
        <v>9</v>
      </c>
      <c r="K53" t="str">
        <f t="shared" si="2"/>
        <v>virginie bortolon</v>
      </c>
      <c r="L53" t="s">
        <v>70</v>
      </c>
      <c r="M53" t="s">
        <v>67</v>
      </c>
      <c r="N53" t="s">
        <v>108</v>
      </c>
      <c r="O53" t="s">
        <v>68</v>
      </c>
      <c r="P53" t="s">
        <v>69</v>
      </c>
      <c r="Q53" t="str">
        <f t="shared" si="3"/>
        <v>virginie.bortolon@berger-levrault.com</v>
      </c>
    </row>
    <row r="54" spans="1:17" x14ac:dyDescent="0.25">
      <c r="A54">
        <v>53</v>
      </c>
      <c r="B54" t="s">
        <v>35</v>
      </c>
      <c r="C54" t="str">
        <f t="shared" si="0"/>
        <v>laurent cormier</v>
      </c>
      <c r="D54" t="s">
        <v>55</v>
      </c>
      <c r="E54" t="s">
        <v>67</v>
      </c>
      <c r="F54" t="s">
        <v>104</v>
      </c>
      <c r="G54" t="s">
        <v>68</v>
      </c>
      <c r="H54" t="s">
        <v>69</v>
      </c>
      <c r="I54" t="str">
        <f t="shared" si="1"/>
        <v>laurent.cormier@berger-levrault.com</v>
      </c>
      <c r="J54" t="s">
        <v>15</v>
      </c>
      <c r="K54" t="str">
        <f t="shared" si="2"/>
        <v>virginie malgoire</v>
      </c>
      <c r="L54" t="s">
        <v>70</v>
      </c>
      <c r="M54" t="s">
        <v>67</v>
      </c>
      <c r="N54" t="s">
        <v>109</v>
      </c>
      <c r="O54" t="s">
        <v>68</v>
      </c>
      <c r="P54" t="s">
        <v>69</v>
      </c>
      <c r="Q54" t="str">
        <f t="shared" si="3"/>
        <v>virginie.malgoire@berger-levrault.com</v>
      </c>
    </row>
    <row r="55" spans="1:17" x14ac:dyDescent="0.25">
      <c r="A55">
        <v>54</v>
      </c>
      <c r="B55" t="s">
        <v>33</v>
      </c>
      <c r="C55" t="str">
        <f t="shared" si="0"/>
        <v>gerard minnaert</v>
      </c>
      <c r="D55" t="s">
        <v>100</v>
      </c>
      <c r="E55" t="s">
        <v>67</v>
      </c>
      <c r="F55" t="s">
        <v>101</v>
      </c>
      <c r="G55" t="s">
        <v>68</v>
      </c>
      <c r="H55" t="s">
        <v>69</v>
      </c>
      <c r="I55" t="str">
        <f t="shared" si="1"/>
        <v>gerard.minnaert@berger-levrault.com</v>
      </c>
      <c r="J55" t="s">
        <v>7</v>
      </c>
      <c r="K55" t="str">
        <f t="shared" si="2"/>
        <v>marie-laure tressol gracia</v>
      </c>
      <c r="L55" t="s">
        <v>107</v>
      </c>
      <c r="M55" t="s">
        <v>67</v>
      </c>
      <c r="N55" t="s">
        <v>111</v>
      </c>
      <c r="O55" t="s">
        <v>68</v>
      </c>
      <c r="P55" t="s">
        <v>69</v>
      </c>
      <c r="Q55" t="str">
        <f t="shared" si="3"/>
        <v>marie-laure.tressolgracia@berger-levrault.com</v>
      </c>
    </row>
    <row r="56" spans="1:17" x14ac:dyDescent="0.25">
      <c r="A56">
        <v>55</v>
      </c>
      <c r="B56" t="s">
        <v>33</v>
      </c>
      <c r="C56" t="str">
        <f t="shared" si="0"/>
        <v>gerard minnaert</v>
      </c>
      <c r="D56" t="s">
        <v>100</v>
      </c>
      <c r="E56" t="s">
        <v>67</v>
      </c>
      <c r="F56" t="s">
        <v>101</v>
      </c>
      <c r="G56" t="s">
        <v>68</v>
      </c>
      <c r="H56" t="s">
        <v>69</v>
      </c>
      <c r="I56" t="str">
        <f t="shared" si="1"/>
        <v>gerard.minnaert@berger-levrault.com</v>
      </c>
      <c r="J56" t="s">
        <v>7</v>
      </c>
      <c r="K56" t="str">
        <f t="shared" si="2"/>
        <v>marie-laure tressol gracia</v>
      </c>
      <c r="L56" t="s">
        <v>107</v>
      </c>
      <c r="M56" t="s">
        <v>67</v>
      </c>
      <c r="N56" t="s">
        <v>111</v>
      </c>
      <c r="O56" t="s">
        <v>68</v>
      </c>
      <c r="P56" t="s">
        <v>69</v>
      </c>
      <c r="Q56" t="str">
        <f t="shared" si="3"/>
        <v>marie-laure.tressolgracia@berger-levrault.com</v>
      </c>
    </row>
    <row r="57" spans="1:17" x14ac:dyDescent="0.25">
      <c r="A57">
        <v>56</v>
      </c>
      <c r="B57" t="s">
        <v>35</v>
      </c>
      <c r="C57" t="str">
        <f t="shared" si="0"/>
        <v>laurent cormier</v>
      </c>
      <c r="D57" t="s">
        <v>55</v>
      </c>
      <c r="E57" t="s">
        <v>67</v>
      </c>
      <c r="F57" t="s">
        <v>104</v>
      </c>
      <c r="G57" t="s">
        <v>68</v>
      </c>
      <c r="H57" t="s">
        <v>69</v>
      </c>
      <c r="I57" t="str">
        <f t="shared" si="1"/>
        <v>laurent.cormier@berger-levrault.com</v>
      </c>
      <c r="J57" t="s">
        <v>15</v>
      </c>
      <c r="K57" t="str">
        <f t="shared" si="2"/>
        <v>virginie malgoire</v>
      </c>
      <c r="L57" t="s">
        <v>70</v>
      </c>
      <c r="M57" t="s">
        <v>67</v>
      </c>
      <c r="N57" t="s">
        <v>109</v>
      </c>
      <c r="O57" t="s">
        <v>68</v>
      </c>
      <c r="P57" t="s">
        <v>69</v>
      </c>
      <c r="Q57" t="str">
        <f t="shared" si="3"/>
        <v>virginie.malgoire@berger-levrault.com</v>
      </c>
    </row>
    <row r="58" spans="1:17" x14ac:dyDescent="0.25">
      <c r="A58">
        <v>57</v>
      </c>
      <c r="B58" t="s">
        <v>33</v>
      </c>
      <c r="C58" t="str">
        <f t="shared" si="0"/>
        <v>gerard minnaert</v>
      </c>
      <c r="D58" t="s">
        <v>100</v>
      </c>
      <c r="E58" t="s">
        <v>67</v>
      </c>
      <c r="F58" t="s">
        <v>101</v>
      </c>
      <c r="G58" t="s">
        <v>68</v>
      </c>
      <c r="H58" t="s">
        <v>69</v>
      </c>
      <c r="I58" t="str">
        <f t="shared" si="1"/>
        <v>gerard.minnaert@berger-levrault.com</v>
      </c>
      <c r="J58" t="s">
        <v>7</v>
      </c>
      <c r="K58" t="str">
        <f t="shared" si="2"/>
        <v>marie-laure tressol gracia</v>
      </c>
      <c r="L58" t="s">
        <v>107</v>
      </c>
      <c r="M58" t="s">
        <v>67</v>
      </c>
      <c r="N58" t="s">
        <v>111</v>
      </c>
      <c r="O58" t="s">
        <v>68</v>
      </c>
      <c r="P58" t="s">
        <v>69</v>
      </c>
      <c r="Q58" t="str">
        <f t="shared" si="3"/>
        <v>marie-laure.tressolgracia@berger-levrault.com</v>
      </c>
    </row>
    <row r="59" spans="1:17" x14ac:dyDescent="0.25">
      <c r="A59">
        <v>58</v>
      </c>
      <c r="B59" t="s">
        <v>32</v>
      </c>
      <c r="C59" t="str">
        <f t="shared" si="0"/>
        <v>xavier coic</v>
      </c>
      <c r="D59" t="s">
        <v>98</v>
      </c>
      <c r="E59" t="s">
        <v>67</v>
      </c>
      <c r="F59" t="s">
        <v>99</v>
      </c>
      <c r="G59" t="s">
        <v>68</v>
      </c>
      <c r="H59" t="s">
        <v>69</v>
      </c>
      <c r="I59" t="str">
        <f t="shared" si="1"/>
        <v>xavier.coic@berger-levrault.com</v>
      </c>
      <c r="J59" t="s">
        <v>9</v>
      </c>
      <c r="K59" t="str">
        <f t="shared" si="2"/>
        <v>virginie bortolon</v>
      </c>
      <c r="L59" t="s">
        <v>70</v>
      </c>
      <c r="M59" t="s">
        <v>67</v>
      </c>
      <c r="N59" t="s">
        <v>108</v>
      </c>
      <c r="O59" t="s">
        <v>68</v>
      </c>
      <c r="P59" t="s">
        <v>69</v>
      </c>
      <c r="Q59" t="str">
        <f t="shared" si="3"/>
        <v>virginie.bortolon@berger-levrault.com</v>
      </c>
    </row>
    <row r="60" spans="1:17" x14ac:dyDescent="0.25">
      <c r="A60">
        <v>59</v>
      </c>
      <c r="B60" t="s">
        <v>33</v>
      </c>
      <c r="C60" t="str">
        <f t="shared" si="0"/>
        <v>gerard minnaert</v>
      </c>
      <c r="D60" t="s">
        <v>100</v>
      </c>
      <c r="E60" t="s">
        <v>67</v>
      </c>
      <c r="F60" t="s">
        <v>101</v>
      </c>
      <c r="G60" t="s">
        <v>68</v>
      </c>
      <c r="H60" t="s">
        <v>69</v>
      </c>
      <c r="I60" t="str">
        <f t="shared" si="1"/>
        <v>gerard.minnaert@berger-levrault.com</v>
      </c>
      <c r="J60" t="s">
        <v>7</v>
      </c>
      <c r="K60" t="str">
        <f t="shared" si="2"/>
        <v>marie-laure tressol gracia</v>
      </c>
      <c r="L60" t="s">
        <v>107</v>
      </c>
      <c r="M60" t="s">
        <v>67</v>
      </c>
      <c r="N60" t="s">
        <v>111</v>
      </c>
      <c r="O60" t="s">
        <v>68</v>
      </c>
      <c r="P60" t="s">
        <v>69</v>
      </c>
      <c r="Q60" t="str">
        <f t="shared" si="3"/>
        <v>marie-laure.tressolgracia@berger-levrault.com</v>
      </c>
    </row>
    <row r="61" spans="1:17" x14ac:dyDescent="0.25">
      <c r="A61">
        <v>60</v>
      </c>
      <c r="B61" t="s">
        <v>33</v>
      </c>
      <c r="C61" t="str">
        <f t="shared" si="0"/>
        <v>gerard minnaert</v>
      </c>
      <c r="D61" t="s">
        <v>100</v>
      </c>
      <c r="E61" t="s">
        <v>67</v>
      </c>
      <c r="F61" t="s">
        <v>101</v>
      </c>
      <c r="G61" t="s">
        <v>68</v>
      </c>
      <c r="H61" t="s">
        <v>69</v>
      </c>
      <c r="I61" t="str">
        <f t="shared" si="1"/>
        <v>gerard.minnaert@berger-levrault.com</v>
      </c>
      <c r="J61" t="s">
        <v>7</v>
      </c>
      <c r="K61" t="str">
        <f t="shared" si="2"/>
        <v>marie-laure tressol gracia</v>
      </c>
      <c r="L61" t="s">
        <v>107</v>
      </c>
      <c r="M61" t="s">
        <v>67</v>
      </c>
      <c r="N61" t="s">
        <v>111</v>
      </c>
      <c r="O61" t="s">
        <v>68</v>
      </c>
      <c r="P61" t="s">
        <v>69</v>
      </c>
      <c r="Q61" t="str">
        <f t="shared" si="3"/>
        <v>marie-laure.tressolgracia@berger-levrault.com</v>
      </c>
    </row>
    <row r="62" spans="1:17" x14ac:dyDescent="0.25">
      <c r="A62">
        <v>61</v>
      </c>
      <c r="B62" t="s">
        <v>35</v>
      </c>
      <c r="C62" t="str">
        <f t="shared" si="0"/>
        <v>laurent cormier</v>
      </c>
      <c r="D62" t="s">
        <v>55</v>
      </c>
      <c r="E62" t="s">
        <v>67</v>
      </c>
      <c r="F62" t="s">
        <v>104</v>
      </c>
      <c r="G62" t="s">
        <v>68</v>
      </c>
      <c r="H62" t="s">
        <v>69</v>
      </c>
      <c r="I62" t="str">
        <f t="shared" si="1"/>
        <v>laurent.cormier@berger-levrault.com</v>
      </c>
      <c r="J62" t="s">
        <v>15</v>
      </c>
      <c r="K62" t="str">
        <f t="shared" si="2"/>
        <v>virginie malgoire</v>
      </c>
      <c r="L62" t="s">
        <v>70</v>
      </c>
      <c r="M62" t="s">
        <v>67</v>
      </c>
      <c r="N62" t="s">
        <v>109</v>
      </c>
      <c r="O62" t="s">
        <v>68</v>
      </c>
      <c r="P62" t="s">
        <v>69</v>
      </c>
      <c r="Q62" t="str">
        <f t="shared" si="3"/>
        <v>virginie.malgoire@berger-levrault.com</v>
      </c>
    </row>
    <row r="63" spans="1:17" x14ac:dyDescent="0.25">
      <c r="A63">
        <v>62</v>
      </c>
      <c r="B63" t="s">
        <v>33</v>
      </c>
      <c r="C63" t="str">
        <f t="shared" si="0"/>
        <v>gerard minnaert</v>
      </c>
      <c r="D63" t="s">
        <v>100</v>
      </c>
      <c r="E63" t="s">
        <v>67</v>
      </c>
      <c r="F63" t="s">
        <v>101</v>
      </c>
      <c r="G63" t="s">
        <v>68</v>
      </c>
      <c r="H63" t="s">
        <v>69</v>
      </c>
      <c r="I63" t="str">
        <f t="shared" si="1"/>
        <v>gerard.minnaert@berger-levrault.com</v>
      </c>
      <c r="J63" t="s">
        <v>7</v>
      </c>
      <c r="K63" t="str">
        <f t="shared" si="2"/>
        <v>marie-laure tressol gracia</v>
      </c>
      <c r="L63" t="s">
        <v>107</v>
      </c>
      <c r="M63" t="s">
        <v>67</v>
      </c>
      <c r="N63" t="s">
        <v>111</v>
      </c>
      <c r="O63" t="s">
        <v>68</v>
      </c>
      <c r="P63" t="s">
        <v>69</v>
      </c>
      <c r="Q63" t="str">
        <f t="shared" si="3"/>
        <v>marie-laure.tressolgracia@berger-levrault.com</v>
      </c>
    </row>
    <row r="64" spans="1:17" x14ac:dyDescent="0.25">
      <c r="A64">
        <v>63</v>
      </c>
      <c r="B64" t="s">
        <v>34</v>
      </c>
      <c r="C64" t="str">
        <f t="shared" si="0"/>
        <v>amelie perez</v>
      </c>
      <c r="D64" t="s">
        <v>102</v>
      </c>
      <c r="E64" t="s">
        <v>67</v>
      </c>
      <c r="F64" t="s">
        <v>103</v>
      </c>
      <c r="G64" t="s">
        <v>68</v>
      </c>
      <c r="H64" t="s">
        <v>69</v>
      </c>
      <c r="I64" t="str">
        <f t="shared" si="1"/>
        <v>amelie.perez@berger-levrault.com</v>
      </c>
      <c r="J64" t="s">
        <v>9</v>
      </c>
      <c r="K64" t="str">
        <f t="shared" si="2"/>
        <v>virginie bortolon</v>
      </c>
      <c r="L64" t="s">
        <v>70</v>
      </c>
      <c r="M64" t="s">
        <v>67</v>
      </c>
      <c r="N64" t="s">
        <v>108</v>
      </c>
      <c r="O64" t="s">
        <v>68</v>
      </c>
      <c r="P64" t="s">
        <v>69</v>
      </c>
      <c r="Q64" t="str">
        <f t="shared" si="3"/>
        <v>virginie.bortolon@berger-levrault.com</v>
      </c>
    </row>
    <row r="65" spans="1:17" x14ac:dyDescent="0.25">
      <c r="A65">
        <v>64</v>
      </c>
      <c r="B65" t="s">
        <v>34</v>
      </c>
      <c r="C65" t="str">
        <f t="shared" si="0"/>
        <v>amelie perez</v>
      </c>
      <c r="D65" t="s">
        <v>102</v>
      </c>
      <c r="E65" t="s">
        <v>67</v>
      </c>
      <c r="F65" t="s">
        <v>103</v>
      </c>
      <c r="G65" t="s">
        <v>68</v>
      </c>
      <c r="H65" t="s">
        <v>69</v>
      </c>
      <c r="I65" t="str">
        <f t="shared" si="1"/>
        <v>amelie.perez@berger-levrault.com</v>
      </c>
      <c r="J65" t="s">
        <v>9</v>
      </c>
      <c r="K65" t="str">
        <f t="shared" si="2"/>
        <v>virginie bortolon</v>
      </c>
      <c r="L65" t="s">
        <v>70</v>
      </c>
      <c r="M65" t="s">
        <v>67</v>
      </c>
      <c r="N65" t="s">
        <v>108</v>
      </c>
      <c r="O65" t="s">
        <v>68</v>
      </c>
      <c r="P65" t="s">
        <v>69</v>
      </c>
      <c r="Q65" t="str">
        <f t="shared" si="3"/>
        <v>virginie.bortolon@berger-levrault.com</v>
      </c>
    </row>
    <row r="66" spans="1:17" x14ac:dyDescent="0.25">
      <c r="A66">
        <v>65</v>
      </c>
      <c r="B66" t="s">
        <v>34</v>
      </c>
      <c r="C66" t="str">
        <f t="shared" si="0"/>
        <v>amelie perez</v>
      </c>
      <c r="D66" t="s">
        <v>102</v>
      </c>
      <c r="E66" t="s">
        <v>67</v>
      </c>
      <c r="F66" t="s">
        <v>103</v>
      </c>
      <c r="G66" t="s">
        <v>68</v>
      </c>
      <c r="H66" t="s">
        <v>69</v>
      </c>
      <c r="I66" t="str">
        <f t="shared" si="1"/>
        <v>amelie.perez@berger-levrault.com</v>
      </c>
      <c r="J66" t="s">
        <v>9</v>
      </c>
      <c r="K66" t="str">
        <f t="shared" si="2"/>
        <v>virginie bortolon</v>
      </c>
      <c r="L66" t="s">
        <v>70</v>
      </c>
      <c r="M66" t="s">
        <v>67</v>
      </c>
      <c r="N66" t="s">
        <v>108</v>
      </c>
      <c r="O66" t="s">
        <v>68</v>
      </c>
      <c r="P66" t="s">
        <v>69</v>
      </c>
      <c r="Q66" t="str">
        <f t="shared" si="3"/>
        <v>virginie.bortolon@berger-levrault.com</v>
      </c>
    </row>
    <row r="67" spans="1:17" x14ac:dyDescent="0.25">
      <c r="A67">
        <v>66</v>
      </c>
      <c r="B67" t="s">
        <v>34</v>
      </c>
      <c r="C67" t="str">
        <f t="shared" ref="C67:C100" si="4">LOWER(B67)</f>
        <v>amelie perez</v>
      </c>
      <c r="D67" t="s">
        <v>102</v>
      </c>
      <c r="E67" t="s">
        <v>67</v>
      </c>
      <c r="F67" t="s">
        <v>103</v>
      </c>
      <c r="G67" t="s">
        <v>68</v>
      </c>
      <c r="H67" t="s">
        <v>69</v>
      </c>
      <c r="I67" t="str">
        <f t="shared" ref="I67:I100" si="5">CONCATENATE(D67,E67,F67,G67,H67)</f>
        <v>amelie.perez@berger-levrault.com</v>
      </c>
      <c r="J67" t="s">
        <v>9</v>
      </c>
      <c r="K67" t="str">
        <f t="shared" ref="K67:K100" si="6">LOWER(J67)</f>
        <v>virginie bortolon</v>
      </c>
      <c r="L67" t="s">
        <v>70</v>
      </c>
      <c r="M67" t="s">
        <v>67</v>
      </c>
      <c r="N67" t="s">
        <v>108</v>
      </c>
      <c r="O67" t="s">
        <v>68</v>
      </c>
      <c r="P67" t="s">
        <v>69</v>
      </c>
      <c r="Q67" t="str">
        <f t="shared" ref="Q67:Q100" si="7">CONCATENATE(L67,M67,N67,O67,P67)</f>
        <v>virginie.bortolon@berger-levrault.com</v>
      </c>
    </row>
    <row r="68" spans="1:17" x14ac:dyDescent="0.25">
      <c r="A68">
        <v>67</v>
      </c>
      <c r="B68" t="s">
        <v>33</v>
      </c>
      <c r="C68" t="str">
        <f t="shared" si="4"/>
        <v>gerard minnaert</v>
      </c>
      <c r="D68" t="s">
        <v>100</v>
      </c>
      <c r="E68" t="s">
        <v>67</v>
      </c>
      <c r="F68" t="s">
        <v>101</v>
      </c>
      <c r="G68" t="s">
        <v>68</v>
      </c>
      <c r="H68" t="s">
        <v>69</v>
      </c>
      <c r="I68" t="str">
        <f t="shared" si="5"/>
        <v>gerard.minnaert@berger-levrault.com</v>
      </c>
      <c r="J68" t="s">
        <v>7</v>
      </c>
      <c r="K68" t="str">
        <f t="shared" si="6"/>
        <v>marie-laure tressol gracia</v>
      </c>
      <c r="L68" t="s">
        <v>107</v>
      </c>
      <c r="M68" t="s">
        <v>67</v>
      </c>
      <c r="N68" t="s">
        <v>111</v>
      </c>
      <c r="O68" t="s">
        <v>68</v>
      </c>
      <c r="P68" t="s">
        <v>69</v>
      </c>
      <c r="Q68" t="str">
        <f t="shared" si="7"/>
        <v>marie-laure.tressolgracia@berger-levrault.com</v>
      </c>
    </row>
    <row r="69" spans="1:17" x14ac:dyDescent="0.25">
      <c r="A69">
        <v>68</v>
      </c>
      <c r="B69" t="s">
        <v>33</v>
      </c>
      <c r="C69" t="str">
        <f t="shared" si="4"/>
        <v>gerard minnaert</v>
      </c>
      <c r="D69" t="s">
        <v>100</v>
      </c>
      <c r="E69" t="s">
        <v>67</v>
      </c>
      <c r="F69" t="s">
        <v>101</v>
      </c>
      <c r="G69" t="s">
        <v>68</v>
      </c>
      <c r="H69" t="s">
        <v>69</v>
      </c>
      <c r="I69" t="str">
        <f t="shared" si="5"/>
        <v>gerard.minnaert@berger-levrault.com</v>
      </c>
      <c r="J69" t="s">
        <v>7</v>
      </c>
      <c r="K69" t="str">
        <f t="shared" si="6"/>
        <v>marie-laure tressol gracia</v>
      </c>
      <c r="L69" t="s">
        <v>107</v>
      </c>
      <c r="M69" t="s">
        <v>67</v>
      </c>
      <c r="N69" t="s">
        <v>111</v>
      </c>
      <c r="O69" t="s">
        <v>68</v>
      </c>
      <c r="P69" t="s">
        <v>69</v>
      </c>
      <c r="Q69" t="str">
        <f t="shared" si="7"/>
        <v>marie-laure.tressolgracia@berger-levrault.com</v>
      </c>
    </row>
    <row r="70" spans="1:17" x14ac:dyDescent="0.25">
      <c r="A70">
        <v>69</v>
      </c>
      <c r="B70" t="s">
        <v>32</v>
      </c>
      <c r="C70" t="str">
        <f t="shared" si="4"/>
        <v>xavier coic</v>
      </c>
      <c r="D70" t="s">
        <v>98</v>
      </c>
      <c r="E70" t="s">
        <v>67</v>
      </c>
      <c r="F70" t="s">
        <v>99</v>
      </c>
      <c r="G70" t="s">
        <v>68</v>
      </c>
      <c r="H70" t="s">
        <v>69</v>
      </c>
      <c r="I70" t="str">
        <f t="shared" si="5"/>
        <v>xavier.coic@berger-levrault.com</v>
      </c>
      <c r="J70" t="s">
        <v>5</v>
      </c>
      <c r="K70" t="str">
        <f t="shared" si="6"/>
        <v>karine raepsaet</v>
      </c>
      <c r="L70" t="s">
        <v>105</v>
      </c>
      <c r="M70" t="s">
        <v>67</v>
      </c>
      <c r="N70" t="s">
        <v>106</v>
      </c>
      <c r="O70" t="s">
        <v>68</v>
      </c>
      <c r="P70" t="s">
        <v>69</v>
      </c>
      <c r="Q70" t="str">
        <f t="shared" si="7"/>
        <v>karine.raepsaet@berger-levrault.com</v>
      </c>
    </row>
    <row r="71" spans="1:17" x14ac:dyDescent="0.25">
      <c r="A71">
        <v>70</v>
      </c>
      <c r="B71" t="s">
        <v>32</v>
      </c>
      <c r="C71" t="str">
        <f t="shared" si="4"/>
        <v>xavier coic</v>
      </c>
      <c r="D71" t="s">
        <v>98</v>
      </c>
      <c r="E71" t="s">
        <v>67</v>
      </c>
      <c r="F71" t="s">
        <v>99</v>
      </c>
      <c r="G71" t="s">
        <v>68</v>
      </c>
      <c r="H71" t="s">
        <v>69</v>
      </c>
      <c r="I71" t="str">
        <f t="shared" si="5"/>
        <v>xavier.coic@berger-levrault.com</v>
      </c>
      <c r="J71" t="s">
        <v>5</v>
      </c>
      <c r="K71" t="str">
        <f t="shared" si="6"/>
        <v>karine raepsaet</v>
      </c>
      <c r="L71" t="s">
        <v>105</v>
      </c>
      <c r="M71" t="s">
        <v>67</v>
      </c>
      <c r="N71" t="s">
        <v>106</v>
      </c>
      <c r="O71" t="s">
        <v>68</v>
      </c>
      <c r="P71" t="s">
        <v>69</v>
      </c>
      <c r="Q71" t="str">
        <f t="shared" si="7"/>
        <v>karine.raepsaet@berger-levrault.com</v>
      </c>
    </row>
    <row r="72" spans="1:17" x14ac:dyDescent="0.25">
      <c r="A72">
        <v>71</v>
      </c>
      <c r="B72" t="s">
        <v>32</v>
      </c>
      <c r="C72" t="str">
        <f t="shared" si="4"/>
        <v>xavier coic</v>
      </c>
      <c r="D72" t="s">
        <v>98</v>
      </c>
      <c r="E72" t="s">
        <v>67</v>
      </c>
      <c r="F72" t="s">
        <v>99</v>
      </c>
      <c r="G72" t="s">
        <v>68</v>
      </c>
      <c r="H72" t="s">
        <v>69</v>
      </c>
      <c r="I72" t="str">
        <f t="shared" si="5"/>
        <v>xavier.coic@berger-levrault.com</v>
      </c>
      <c r="J72" t="s">
        <v>5</v>
      </c>
      <c r="K72" t="str">
        <f t="shared" si="6"/>
        <v>karine raepsaet</v>
      </c>
      <c r="L72" t="s">
        <v>105</v>
      </c>
      <c r="M72" t="s">
        <v>67</v>
      </c>
      <c r="N72" t="s">
        <v>106</v>
      </c>
      <c r="O72" t="s">
        <v>68</v>
      </c>
      <c r="P72" t="s">
        <v>69</v>
      </c>
      <c r="Q72" t="str">
        <f t="shared" si="7"/>
        <v>karine.raepsaet@berger-levrault.com</v>
      </c>
    </row>
    <row r="73" spans="1:17" x14ac:dyDescent="0.25">
      <c r="A73">
        <v>72</v>
      </c>
      <c r="B73" t="s">
        <v>35</v>
      </c>
      <c r="C73" t="str">
        <f t="shared" si="4"/>
        <v>laurent cormier</v>
      </c>
      <c r="D73" t="s">
        <v>55</v>
      </c>
      <c r="E73" t="s">
        <v>67</v>
      </c>
      <c r="F73" t="s">
        <v>104</v>
      </c>
      <c r="G73" t="s">
        <v>68</v>
      </c>
      <c r="H73" t="s">
        <v>69</v>
      </c>
      <c r="I73" t="str">
        <f t="shared" si="5"/>
        <v>laurent.cormier@berger-levrault.com</v>
      </c>
      <c r="J73" t="s">
        <v>15</v>
      </c>
      <c r="K73" t="str">
        <f t="shared" si="6"/>
        <v>virginie malgoire</v>
      </c>
      <c r="L73" t="s">
        <v>70</v>
      </c>
      <c r="M73" t="s">
        <v>67</v>
      </c>
      <c r="N73" t="s">
        <v>109</v>
      </c>
      <c r="O73" t="s">
        <v>68</v>
      </c>
      <c r="P73" t="s">
        <v>69</v>
      </c>
      <c r="Q73" t="str">
        <f t="shared" si="7"/>
        <v>virginie.malgoire@berger-levrault.com</v>
      </c>
    </row>
    <row r="74" spans="1:17" x14ac:dyDescent="0.25">
      <c r="A74">
        <v>73</v>
      </c>
      <c r="B74" t="s">
        <v>32</v>
      </c>
      <c r="C74" t="str">
        <f t="shared" si="4"/>
        <v>xavier coic</v>
      </c>
      <c r="D74" t="s">
        <v>98</v>
      </c>
      <c r="E74" t="s">
        <v>67</v>
      </c>
      <c r="F74" t="s">
        <v>99</v>
      </c>
      <c r="G74" t="s">
        <v>68</v>
      </c>
      <c r="H74" t="s">
        <v>69</v>
      </c>
      <c r="I74" t="str">
        <f t="shared" si="5"/>
        <v>xavier.coic@berger-levrault.com</v>
      </c>
      <c r="J74" t="s">
        <v>5</v>
      </c>
      <c r="K74" t="str">
        <f t="shared" si="6"/>
        <v>karine raepsaet</v>
      </c>
      <c r="L74" t="s">
        <v>105</v>
      </c>
      <c r="M74" t="s">
        <v>67</v>
      </c>
      <c r="N74" t="s">
        <v>106</v>
      </c>
      <c r="O74" t="s">
        <v>68</v>
      </c>
      <c r="P74" t="s">
        <v>69</v>
      </c>
      <c r="Q74" t="str">
        <f t="shared" si="7"/>
        <v>karine.raepsaet@berger-levrault.com</v>
      </c>
    </row>
    <row r="75" spans="1:17" x14ac:dyDescent="0.25">
      <c r="A75">
        <v>74</v>
      </c>
      <c r="B75" t="s">
        <v>32</v>
      </c>
      <c r="C75" t="str">
        <f t="shared" si="4"/>
        <v>xavier coic</v>
      </c>
      <c r="D75" t="s">
        <v>98</v>
      </c>
      <c r="E75" t="s">
        <v>67</v>
      </c>
      <c r="F75" t="s">
        <v>99</v>
      </c>
      <c r="G75" t="s">
        <v>68</v>
      </c>
      <c r="H75" t="s">
        <v>69</v>
      </c>
      <c r="I75" t="str">
        <f t="shared" si="5"/>
        <v>xavier.coic@berger-levrault.com</v>
      </c>
      <c r="J75" t="s">
        <v>5</v>
      </c>
      <c r="K75" t="str">
        <f t="shared" si="6"/>
        <v>karine raepsaet</v>
      </c>
      <c r="L75" t="s">
        <v>105</v>
      </c>
      <c r="M75" t="s">
        <v>67</v>
      </c>
      <c r="N75" t="s">
        <v>106</v>
      </c>
      <c r="O75" t="s">
        <v>68</v>
      </c>
      <c r="P75" t="s">
        <v>69</v>
      </c>
      <c r="Q75" t="str">
        <f t="shared" si="7"/>
        <v>karine.raepsaet@berger-levrault.com</v>
      </c>
    </row>
    <row r="76" spans="1:17" x14ac:dyDescent="0.25">
      <c r="A76">
        <v>75</v>
      </c>
      <c r="B76" t="s">
        <v>33</v>
      </c>
      <c r="C76" t="str">
        <f t="shared" si="4"/>
        <v>gerard minnaert</v>
      </c>
      <c r="D76" t="s">
        <v>100</v>
      </c>
      <c r="E76" t="s">
        <v>67</v>
      </c>
      <c r="F76" t="s">
        <v>101</v>
      </c>
      <c r="G76" t="s">
        <v>68</v>
      </c>
      <c r="H76" t="s">
        <v>69</v>
      </c>
      <c r="I76" t="str">
        <f t="shared" si="5"/>
        <v>gerard.minnaert@berger-levrault.com</v>
      </c>
      <c r="J76" t="s">
        <v>7</v>
      </c>
      <c r="K76" t="str">
        <f t="shared" si="6"/>
        <v>marie-laure tressol gracia</v>
      </c>
      <c r="L76" t="s">
        <v>107</v>
      </c>
      <c r="M76" t="s">
        <v>67</v>
      </c>
      <c r="N76" t="s">
        <v>111</v>
      </c>
      <c r="O76" t="s">
        <v>68</v>
      </c>
      <c r="P76" t="s">
        <v>69</v>
      </c>
      <c r="Q76" t="str">
        <f t="shared" si="7"/>
        <v>marie-laure.tressolgracia@berger-levrault.com</v>
      </c>
    </row>
    <row r="77" spans="1:17" x14ac:dyDescent="0.25">
      <c r="A77">
        <v>76</v>
      </c>
      <c r="B77" t="s">
        <v>35</v>
      </c>
      <c r="C77" t="str">
        <f t="shared" si="4"/>
        <v>laurent cormier</v>
      </c>
      <c r="D77" t="s">
        <v>55</v>
      </c>
      <c r="E77" t="s">
        <v>67</v>
      </c>
      <c r="F77" t="s">
        <v>104</v>
      </c>
      <c r="G77" t="s">
        <v>68</v>
      </c>
      <c r="H77" t="s">
        <v>69</v>
      </c>
      <c r="I77" t="str">
        <f t="shared" si="5"/>
        <v>laurent.cormier@berger-levrault.com</v>
      </c>
      <c r="J77" t="s">
        <v>15</v>
      </c>
      <c r="K77" t="str">
        <f t="shared" si="6"/>
        <v>virginie malgoire</v>
      </c>
      <c r="L77" t="s">
        <v>70</v>
      </c>
      <c r="M77" t="s">
        <v>67</v>
      </c>
      <c r="N77" t="s">
        <v>109</v>
      </c>
      <c r="O77" t="s">
        <v>68</v>
      </c>
      <c r="P77" t="s">
        <v>69</v>
      </c>
      <c r="Q77" t="str">
        <f t="shared" si="7"/>
        <v>virginie.malgoire@berger-levrault.com</v>
      </c>
    </row>
    <row r="78" spans="1:17" x14ac:dyDescent="0.25">
      <c r="A78">
        <v>77</v>
      </c>
      <c r="B78" t="s">
        <v>33</v>
      </c>
      <c r="C78" t="str">
        <f t="shared" si="4"/>
        <v>gerard minnaert</v>
      </c>
      <c r="D78" t="s">
        <v>100</v>
      </c>
      <c r="E78" t="s">
        <v>67</v>
      </c>
      <c r="F78" t="s">
        <v>101</v>
      </c>
      <c r="G78" t="s">
        <v>68</v>
      </c>
      <c r="H78" t="s">
        <v>69</v>
      </c>
      <c r="I78" t="str">
        <f t="shared" si="5"/>
        <v>gerard.minnaert@berger-levrault.com</v>
      </c>
      <c r="J78" t="s">
        <v>7</v>
      </c>
      <c r="K78" t="str">
        <f t="shared" si="6"/>
        <v>marie-laure tressol gracia</v>
      </c>
      <c r="L78" t="s">
        <v>107</v>
      </c>
      <c r="M78" t="s">
        <v>67</v>
      </c>
      <c r="N78" t="s">
        <v>111</v>
      </c>
      <c r="O78" t="s">
        <v>68</v>
      </c>
      <c r="P78" t="s">
        <v>69</v>
      </c>
      <c r="Q78" t="str">
        <f t="shared" si="7"/>
        <v>marie-laure.tressolgracia@berger-levrault.com</v>
      </c>
    </row>
    <row r="79" spans="1:17" x14ac:dyDescent="0.25">
      <c r="A79">
        <v>78</v>
      </c>
      <c r="B79" t="s">
        <v>33</v>
      </c>
      <c r="C79" t="str">
        <f t="shared" si="4"/>
        <v>gerard minnaert</v>
      </c>
      <c r="D79" t="s">
        <v>100</v>
      </c>
      <c r="E79" t="s">
        <v>67</v>
      </c>
      <c r="F79" t="s">
        <v>101</v>
      </c>
      <c r="G79" t="s">
        <v>68</v>
      </c>
      <c r="H79" t="s">
        <v>69</v>
      </c>
      <c r="I79" t="str">
        <f t="shared" si="5"/>
        <v>gerard.minnaert@berger-levrault.com</v>
      </c>
      <c r="J79" t="s">
        <v>7</v>
      </c>
      <c r="K79" t="str">
        <f t="shared" si="6"/>
        <v>marie-laure tressol gracia</v>
      </c>
      <c r="L79" t="s">
        <v>107</v>
      </c>
      <c r="M79" t="s">
        <v>67</v>
      </c>
      <c r="N79" t="s">
        <v>111</v>
      </c>
      <c r="O79" t="s">
        <v>68</v>
      </c>
      <c r="P79" t="s">
        <v>69</v>
      </c>
      <c r="Q79" t="str">
        <f t="shared" si="7"/>
        <v>marie-laure.tressolgracia@berger-levrault.com</v>
      </c>
    </row>
    <row r="80" spans="1:17" x14ac:dyDescent="0.25">
      <c r="A80">
        <v>79</v>
      </c>
      <c r="B80" t="s">
        <v>35</v>
      </c>
      <c r="C80" t="str">
        <f t="shared" si="4"/>
        <v>laurent cormier</v>
      </c>
      <c r="D80" t="s">
        <v>55</v>
      </c>
      <c r="E80" t="s">
        <v>67</v>
      </c>
      <c r="F80" t="s">
        <v>104</v>
      </c>
      <c r="G80" t="s">
        <v>68</v>
      </c>
      <c r="H80" t="s">
        <v>69</v>
      </c>
      <c r="I80" t="str">
        <f t="shared" si="5"/>
        <v>laurent.cormier@berger-levrault.com</v>
      </c>
      <c r="J80" t="s">
        <v>15</v>
      </c>
      <c r="K80" t="str">
        <f t="shared" si="6"/>
        <v>virginie malgoire</v>
      </c>
      <c r="L80" t="s">
        <v>70</v>
      </c>
      <c r="M80" t="s">
        <v>67</v>
      </c>
      <c r="N80" t="s">
        <v>109</v>
      </c>
      <c r="O80" t="s">
        <v>68</v>
      </c>
      <c r="P80" t="s">
        <v>69</v>
      </c>
      <c r="Q80" t="str">
        <f t="shared" si="7"/>
        <v>virginie.malgoire@berger-levrault.com</v>
      </c>
    </row>
    <row r="81" spans="1:17" x14ac:dyDescent="0.25">
      <c r="A81">
        <v>80</v>
      </c>
      <c r="B81" t="s">
        <v>33</v>
      </c>
      <c r="C81" t="str">
        <f t="shared" si="4"/>
        <v>gerard minnaert</v>
      </c>
      <c r="D81" t="s">
        <v>100</v>
      </c>
      <c r="E81" t="s">
        <v>67</v>
      </c>
      <c r="F81" t="s">
        <v>101</v>
      </c>
      <c r="G81" t="s">
        <v>68</v>
      </c>
      <c r="H81" t="s">
        <v>69</v>
      </c>
      <c r="I81" t="str">
        <f t="shared" si="5"/>
        <v>gerard.minnaert@berger-levrault.com</v>
      </c>
      <c r="J81" t="s">
        <v>7</v>
      </c>
      <c r="K81" t="str">
        <f t="shared" si="6"/>
        <v>marie-laure tressol gracia</v>
      </c>
      <c r="L81" t="s">
        <v>107</v>
      </c>
      <c r="M81" t="s">
        <v>67</v>
      </c>
      <c r="N81" t="s">
        <v>111</v>
      </c>
      <c r="O81" t="s">
        <v>68</v>
      </c>
      <c r="P81" t="s">
        <v>69</v>
      </c>
      <c r="Q81" t="str">
        <f t="shared" si="7"/>
        <v>marie-laure.tressolgracia@berger-levrault.com</v>
      </c>
    </row>
    <row r="82" spans="1:17" x14ac:dyDescent="0.25">
      <c r="A82">
        <v>81</v>
      </c>
      <c r="B82" t="s">
        <v>34</v>
      </c>
      <c r="C82" t="str">
        <f t="shared" si="4"/>
        <v>amelie perez</v>
      </c>
      <c r="D82" t="s">
        <v>102</v>
      </c>
      <c r="E82" t="s">
        <v>67</v>
      </c>
      <c r="F82" t="s">
        <v>103</v>
      </c>
      <c r="G82" t="s">
        <v>68</v>
      </c>
      <c r="H82" t="s">
        <v>69</v>
      </c>
      <c r="I82" t="str">
        <f t="shared" si="5"/>
        <v>amelie.perez@berger-levrault.com</v>
      </c>
      <c r="J82" t="s">
        <v>9</v>
      </c>
      <c r="K82" t="str">
        <f t="shared" si="6"/>
        <v>virginie bortolon</v>
      </c>
      <c r="L82" t="s">
        <v>70</v>
      </c>
      <c r="M82" t="s">
        <v>67</v>
      </c>
      <c r="N82" t="s">
        <v>108</v>
      </c>
      <c r="O82" t="s">
        <v>68</v>
      </c>
      <c r="P82" t="s">
        <v>69</v>
      </c>
      <c r="Q82" t="str">
        <f t="shared" si="7"/>
        <v>virginie.bortolon@berger-levrault.com</v>
      </c>
    </row>
    <row r="83" spans="1:17" x14ac:dyDescent="0.25">
      <c r="A83">
        <v>82</v>
      </c>
      <c r="B83" t="s">
        <v>34</v>
      </c>
      <c r="C83" t="str">
        <f t="shared" si="4"/>
        <v>amelie perez</v>
      </c>
      <c r="D83" t="s">
        <v>102</v>
      </c>
      <c r="E83" t="s">
        <v>67</v>
      </c>
      <c r="F83" t="s">
        <v>103</v>
      </c>
      <c r="G83" t="s">
        <v>68</v>
      </c>
      <c r="H83" t="s">
        <v>69</v>
      </c>
      <c r="I83" t="str">
        <f t="shared" si="5"/>
        <v>amelie.perez@berger-levrault.com</v>
      </c>
      <c r="J83" t="s">
        <v>9</v>
      </c>
      <c r="K83" t="str">
        <f t="shared" si="6"/>
        <v>virginie bortolon</v>
      </c>
      <c r="L83" t="s">
        <v>70</v>
      </c>
      <c r="M83" t="s">
        <v>67</v>
      </c>
      <c r="N83" t="s">
        <v>108</v>
      </c>
      <c r="O83" t="s">
        <v>68</v>
      </c>
      <c r="P83" t="s">
        <v>69</v>
      </c>
      <c r="Q83" t="str">
        <f t="shared" si="7"/>
        <v>virginie.bortolon@berger-levrault.com</v>
      </c>
    </row>
    <row r="84" spans="1:17" x14ac:dyDescent="0.25">
      <c r="A84">
        <v>83</v>
      </c>
      <c r="B84" t="s">
        <v>32</v>
      </c>
      <c r="C84" t="str">
        <f t="shared" si="4"/>
        <v>xavier coic</v>
      </c>
      <c r="D84" t="s">
        <v>98</v>
      </c>
      <c r="E84" t="s">
        <v>67</v>
      </c>
      <c r="F84" t="s">
        <v>99</v>
      </c>
      <c r="G84" t="s">
        <v>68</v>
      </c>
      <c r="H84" t="s">
        <v>69</v>
      </c>
      <c r="I84" t="str">
        <f t="shared" si="5"/>
        <v>xavier.coic@berger-levrault.com</v>
      </c>
      <c r="J84" t="s">
        <v>5</v>
      </c>
      <c r="K84" t="str">
        <f t="shared" si="6"/>
        <v>karine raepsaet</v>
      </c>
      <c r="L84" t="s">
        <v>105</v>
      </c>
      <c r="M84" t="s">
        <v>67</v>
      </c>
      <c r="N84" t="s">
        <v>106</v>
      </c>
      <c r="O84" t="s">
        <v>68</v>
      </c>
      <c r="P84" t="s">
        <v>69</v>
      </c>
      <c r="Q84" t="str">
        <f t="shared" si="7"/>
        <v>karine.raepsaet@berger-levrault.com</v>
      </c>
    </row>
    <row r="85" spans="1:17" x14ac:dyDescent="0.25">
      <c r="A85">
        <v>84</v>
      </c>
      <c r="B85" t="s">
        <v>32</v>
      </c>
      <c r="C85" t="str">
        <f t="shared" si="4"/>
        <v>xavier coic</v>
      </c>
      <c r="D85" t="s">
        <v>98</v>
      </c>
      <c r="E85" t="s">
        <v>67</v>
      </c>
      <c r="F85" t="s">
        <v>99</v>
      </c>
      <c r="G85" t="s">
        <v>68</v>
      </c>
      <c r="H85" t="s">
        <v>69</v>
      </c>
      <c r="I85" t="str">
        <f t="shared" si="5"/>
        <v>xavier.coic@berger-levrault.com</v>
      </c>
      <c r="J85" t="s">
        <v>5</v>
      </c>
      <c r="K85" t="str">
        <f t="shared" si="6"/>
        <v>karine raepsaet</v>
      </c>
      <c r="L85" t="s">
        <v>105</v>
      </c>
      <c r="M85" t="s">
        <v>67</v>
      </c>
      <c r="N85" t="s">
        <v>106</v>
      </c>
      <c r="O85" t="s">
        <v>68</v>
      </c>
      <c r="P85" t="s">
        <v>69</v>
      </c>
      <c r="Q85" t="str">
        <f t="shared" si="7"/>
        <v>karine.raepsaet@berger-levrault.com</v>
      </c>
    </row>
    <row r="86" spans="1:17" x14ac:dyDescent="0.25">
      <c r="A86">
        <v>85</v>
      </c>
      <c r="B86" t="s">
        <v>35</v>
      </c>
      <c r="C86" t="str">
        <f t="shared" si="4"/>
        <v>laurent cormier</v>
      </c>
      <c r="D86" t="s">
        <v>55</v>
      </c>
      <c r="E86" t="s">
        <v>67</v>
      </c>
      <c r="F86" t="s">
        <v>104</v>
      </c>
      <c r="G86" t="s">
        <v>68</v>
      </c>
      <c r="H86" t="s">
        <v>69</v>
      </c>
      <c r="I86" t="str">
        <f t="shared" si="5"/>
        <v>laurent.cormier@berger-levrault.com</v>
      </c>
      <c r="J86" t="s">
        <v>15</v>
      </c>
      <c r="K86" t="str">
        <f t="shared" si="6"/>
        <v>virginie malgoire</v>
      </c>
      <c r="L86" t="s">
        <v>70</v>
      </c>
      <c r="M86" t="s">
        <v>67</v>
      </c>
      <c r="N86" t="s">
        <v>109</v>
      </c>
      <c r="O86" t="s">
        <v>68</v>
      </c>
      <c r="P86" t="s">
        <v>69</v>
      </c>
      <c r="Q86" t="str">
        <f t="shared" si="7"/>
        <v>virginie.malgoire@berger-levrault.com</v>
      </c>
    </row>
    <row r="87" spans="1:17" x14ac:dyDescent="0.25">
      <c r="A87">
        <v>86</v>
      </c>
      <c r="B87" t="s">
        <v>35</v>
      </c>
      <c r="C87" t="str">
        <f t="shared" si="4"/>
        <v>laurent cormier</v>
      </c>
      <c r="D87" t="s">
        <v>55</v>
      </c>
      <c r="E87" t="s">
        <v>67</v>
      </c>
      <c r="F87" t="s">
        <v>104</v>
      </c>
      <c r="G87" t="s">
        <v>68</v>
      </c>
      <c r="H87" t="s">
        <v>69</v>
      </c>
      <c r="I87" t="str">
        <f t="shared" si="5"/>
        <v>laurent.cormier@berger-levrault.com</v>
      </c>
      <c r="J87" t="s">
        <v>15</v>
      </c>
      <c r="K87" t="str">
        <f t="shared" si="6"/>
        <v>virginie malgoire</v>
      </c>
      <c r="L87" t="s">
        <v>70</v>
      </c>
      <c r="M87" t="s">
        <v>67</v>
      </c>
      <c r="N87" t="s">
        <v>109</v>
      </c>
      <c r="O87" t="s">
        <v>68</v>
      </c>
      <c r="P87" t="s">
        <v>69</v>
      </c>
      <c r="Q87" t="str">
        <f t="shared" si="7"/>
        <v>virginie.malgoire@berger-levrault.com</v>
      </c>
    </row>
    <row r="88" spans="1:17" x14ac:dyDescent="0.25">
      <c r="A88">
        <v>87</v>
      </c>
      <c r="B88" t="s">
        <v>34</v>
      </c>
      <c r="C88" t="str">
        <f t="shared" si="4"/>
        <v>amelie perez</v>
      </c>
      <c r="D88" t="s">
        <v>102</v>
      </c>
      <c r="E88" t="s">
        <v>67</v>
      </c>
      <c r="F88" t="s">
        <v>103</v>
      </c>
      <c r="G88" t="s">
        <v>68</v>
      </c>
      <c r="H88" t="s">
        <v>69</v>
      </c>
      <c r="I88" t="str">
        <f t="shared" si="5"/>
        <v>amelie.perez@berger-levrault.com</v>
      </c>
      <c r="J88" t="s">
        <v>9</v>
      </c>
      <c r="K88" t="str">
        <f t="shared" si="6"/>
        <v>virginie bortolon</v>
      </c>
      <c r="L88" t="s">
        <v>70</v>
      </c>
      <c r="M88" t="s">
        <v>67</v>
      </c>
      <c r="N88" t="s">
        <v>108</v>
      </c>
      <c r="O88" t="s">
        <v>68</v>
      </c>
      <c r="P88" t="s">
        <v>69</v>
      </c>
      <c r="Q88" t="str">
        <f t="shared" si="7"/>
        <v>virginie.bortolon@berger-levrault.com</v>
      </c>
    </row>
    <row r="89" spans="1:17" x14ac:dyDescent="0.25">
      <c r="A89">
        <v>88</v>
      </c>
      <c r="B89" t="s">
        <v>33</v>
      </c>
      <c r="C89" t="str">
        <f t="shared" si="4"/>
        <v>gerard minnaert</v>
      </c>
      <c r="D89" t="s">
        <v>100</v>
      </c>
      <c r="E89" t="s">
        <v>67</v>
      </c>
      <c r="F89" t="s">
        <v>101</v>
      </c>
      <c r="G89" t="s">
        <v>68</v>
      </c>
      <c r="H89" t="s">
        <v>69</v>
      </c>
      <c r="I89" t="str">
        <f t="shared" si="5"/>
        <v>gerard.minnaert@berger-levrault.com</v>
      </c>
      <c r="J89" t="s">
        <v>7</v>
      </c>
      <c r="K89" t="str">
        <f t="shared" si="6"/>
        <v>marie-laure tressol gracia</v>
      </c>
      <c r="L89" t="s">
        <v>107</v>
      </c>
      <c r="M89" t="s">
        <v>67</v>
      </c>
      <c r="N89" t="s">
        <v>111</v>
      </c>
      <c r="O89" t="s">
        <v>68</v>
      </c>
      <c r="P89" t="s">
        <v>69</v>
      </c>
      <c r="Q89" t="str">
        <f t="shared" si="7"/>
        <v>marie-laure.tressolgracia@berger-levrault.com</v>
      </c>
    </row>
    <row r="90" spans="1:17" x14ac:dyDescent="0.25">
      <c r="A90">
        <v>89</v>
      </c>
      <c r="B90" t="s">
        <v>32</v>
      </c>
      <c r="C90" t="str">
        <f t="shared" si="4"/>
        <v>xavier coic</v>
      </c>
      <c r="D90" t="s">
        <v>98</v>
      </c>
      <c r="E90" t="s">
        <v>67</v>
      </c>
      <c r="F90" t="s">
        <v>99</v>
      </c>
      <c r="G90" t="s">
        <v>68</v>
      </c>
      <c r="H90" t="s">
        <v>69</v>
      </c>
      <c r="I90" t="str">
        <f t="shared" si="5"/>
        <v>xavier.coic@berger-levrault.com</v>
      </c>
      <c r="J90" t="s">
        <v>9</v>
      </c>
      <c r="K90" t="str">
        <f t="shared" si="6"/>
        <v>virginie bortolon</v>
      </c>
      <c r="L90" t="s">
        <v>70</v>
      </c>
      <c r="M90" t="s">
        <v>67</v>
      </c>
      <c r="N90" t="s">
        <v>108</v>
      </c>
      <c r="O90" t="s">
        <v>68</v>
      </c>
      <c r="P90" t="s">
        <v>69</v>
      </c>
      <c r="Q90" t="str">
        <f t="shared" si="7"/>
        <v>virginie.bortolon@berger-levrault.com</v>
      </c>
    </row>
    <row r="91" spans="1:17" x14ac:dyDescent="0.25">
      <c r="A91">
        <v>90</v>
      </c>
      <c r="B91" t="s">
        <v>32</v>
      </c>
      <c r="C91" t="str">
        <f t="shared" si="4"/>
        <v>xavier coic</v>
      </c>
      <c r="D91" t="s">
        <v>98</v>
      </c>
      <c r="E91" t="s">
        <v>67</v>
      </c>
      <c r="F91" t="s">
        <v>99</v>
      </c>
      <c r="G91" t="s">
        <v>68</v>
      </c>
      <c r="H91" t="s">
        <v>69</v>
      </c>
      <c r="I91" t="str">
        <f t="shared" si="5"/>
        <v>xavier.coic@berger-levrault.com</v>
      </c>
      <c r="J91" t="s">
        <v>5</v>
      </c>
      <c r="K91" t="str">
        <f t="shared" si="6"/>
        <v>karine raepsaet</v>
      </c>
      <c r="L91" t="s">
        <v>105</v>
      </c>
      <c r="M91" t="s">
        <v>67</v>
      </c>
      <c r="N91" t="s">
        <v>106</v>
      </c>
      <c r="O91" t="s">
        <v>68</v>
      </c>
      <c r="P91" t="s">
        <v>69</v>
      </c>
      <c r="Q91" t="str">
        <f t="shared" si="7"/>
        <v>karine.raepsaet@berger-levrault.com</v>
      </c>
    </row>
    <row r="92" spans="1:17" x14ac:dyDescent="0.25">
      <c r="A92">
        <v>91</v>
      </c>
      <c r="B92" t="s">
        <v>33</v>
      </c>
      <c r="C92" t="str">
        <f t="shared" si="4"/>
        <v>gerard minnaert</v>
      </c>
      <c r="D92" t="s">
        <v>100</v>
      </c>
      <c r="E92" t="s">
        <v>67</v>
      </c>
      <c r="F92" t="s">
        <v>101</v>
      </c>
      <c r="G92" t="s">
        <v>68</v>
      </c>
      <c r="H92" t="s">
        <v>69</v>
      </c>
      <c r="I92" t="str">
        <f t="shared" si="5"/>
        <v>gerard.minnaert@berger-levrault.com</v>
      </c>
      <c r="J92" t="s">
        <v>7</v>
      </c>
      <c r="K92" t="str">
        <f t="shared" si="6"/>
        <v>marie-laure tressol gracia</v>
      </c>
      <c r="L92" t="s">
        <v>107</v>
      </c>
      <c r="M92" t="s">
        <v>67</v>
      </c>
      <c r="N92" t="s">
        <v>111</v>
      </c>
      <c r="O92" t="s">
        <v>68</v>
      </c>
      <c r="P92" t="s">
        <v>69</v>
      </c>
      <c r="Q92" t="str">
        <f t="shared" si="7"/>
        <v>marie-laure.tressolgracia@berger-levrault.com</v>
      </c>
    </row>
    <row r="93" spans="1:17" x14ac:dyDescent="0.25">
      <c r="A93">
        <v>92</v>
      </c>
      <c r="B93" t="s">
        <v>33</v>
      </c>
      <c r="C93" t="str">
        <f t="shared" si="4"/>
        <v>gerard minnaert</v>
      </c>
      <c r="D93" t="s">
        <v>100</v>
      </c>
      <c r="E93" t="s">
        <v>67</v>
      </c>
      <c r="F93" t="s">
        <v>101</v>
      </c>
      <c r="G93" t="s">
        <v>68</v>
      </c>
      <c r="H93" t="s">
        <v>69</v>
      </c>
      <c r="I93" t="str">
        <f t="shared" si="5"/>
        <v>gerard.minnaert@berger-levrault.com</v>
      </c>
      <c r="J93" t="s">
        <v>7</v>
      </c>
      <c r="K93" t="str">
        <f t="shared" si="6"/>
        <v>marie-laure tressol gracia</v>
      </c>
      <c r="L93" t="s">
        <v>107</v>
      </c>
      <c r="M93" t="s">
        <v>67</v>
      </c>
      <c r="N93" t="s">
        <v>111</v>
      </c>
      <c r="O93" t="s">
        <v>68</v>
      </c>
      <c r="P93" t="s">
        <v>69</v>
      </c>
      <c r="Q93" t="str">
        <f t="shared" si="7"/>
        <v>marie-laure.tressolgracia@berger-levrault.com</v>
      </c>
    </row>
    <row r="94" spans="1:17" x14ac:dyDescent="0.25">
      <c r="A94">
        <v>93</v>
      </c>
      <c r="B94" t="s">
        <v>33</v>
      </c>
      <c r="C94" t="str">
        <f t="shared" si="4"/>
        <v>gerard minnaert</v>
      </c>
      <c r="D94" t="s">
        <v>100</v>
      </c>
      <c r="E94" t="s">
        <v>67</v>
      </c>
      <c r="F94" t="s">
        <v>101</v>
      </c>
      <c r="G94" t="s">
        <v>68</v>
      </c>
      <c r="H94" t="s">
        <v>69</v>
      </c>
      <c r="I94" t="str">
        <f t="shared" si="5"/>
        <v>gerard.minnaert@berger-levrault.com</v>
      </c>
      <c r="J94" t="s">
        <v>7</v>
      </c>
      <c r="K94" t="str">
        <f t="shared" si="6"/>
        <v>marie-laure tressol gracia</v>
      </c>
      <c r="L94" t="s">
        <v>107</v>
      </c>
      <c r="M94" t="s">
        <v>67</v>
      </c>
      <c r="N94" t="s">
        <v>111</v>
      </c>
      <c r="O94" t="s">
        <v>68</v>
      </c>
      <c r="P94" t="s">
        <v>69</v>
      </c>
      <c r="Q94" t="str">
        <f t="shared" si="7"/>
        <v>marie-laure.tressolgracia@berger-levrault.com</v>
      </c>
    </row>
    <row r="95" spans="1:17" x14ac:dyDescent="0.25">
      <c r="A95">
        <v>94</v>
      </c>
      <c r="B95" t="s">
        <v>33</v>
      </c>
      <c r="C95" t="str">
        <f t="shared" si="4"/>
        <v>gerard minnaert</v>
      </c>
      <c r="D95" t="s">
        <v>100</v>
      </c>
      <c r="E95" t="s">
        <v>67</v>
      </c>
      <c r="F95" t="s">
        <v>101</v>
      </c>
      <c r="G95" t="s">
        <v>68</v>
      </c>
      <c r="H95" t="s">
        <v>69</v>
      </c>
      <c r="I95" t="str">
        <f t="shared" si="5"/>
        <v>gerard.minnaert@berger-levrault.com</v>
      </c>
      <c r="J95" t="s">
        <v>7</v>
      </c>
      <c r="K95" t="str">
        <f t="shared" si="6"/>
        <v>marie-laure tressol gracia</v>
      </c>
      <c r="L95" t="s">
        <v>107</v>
      </c>
      <c r="M95" t="s">
        <v>67</v>
      </c>
      <c r="N95" t="s">
        <v>111</v>
      </c>
      <c r="O95" t="s">
        <v>68</v>
      </c>
      <c r="P95" t="s">
        <v>69</v>
      </c>
      <c r="Q95" t="str">
        <f t="shared" si="7"/>
        <v>marie-laure.tressolgracia@berger-levrault.com</v>
      </c>
    </row>
    <row r="96" spans="1:17" x14ac:dyDescent="0.25">
      <c r="A96">
        <v>95</v>
      </c>
      <c r="B96" t="s">
        <v>33</v>
      </c>
      <c r="C96" t="str">
        <f t="shared" si="4"/>
        <v>gerard minnaert</v>
      </c>
      <c r="D96" t="s">
        <v>100</v>
      </c>
      <c r="E96" t="s">
        <v>67</v>
      </c>
      <c r="F96" t="s">
        <v>101</v>
      </c>
      <c r="G96" t="s">
        <v>68</v>
      </c>
      <c r="H96" t="s">
        <v>69</v>
      </c>
      <c r="I96" t="str">
        <f t="shared" si="5"/>
        <v>gerard.minnaert@berger-levrault.com</v>
      </c>
      <c r="J96" t="s">
        <v>7</v>
      </c>
      <c r="K96" t="str">
        <f t="shared" si="6"/>
        <v>marie-laure tressol gracia</v>
      </c>
      <c r="L96" t="s">
        <v>107</v>
      </c>
      <c r="M96" t="s">
        <v>67</v>
      </c>
      <c r="N96" t="s">
        <v>111</v>
      </c>
      <c r="O96" t="s">
        <v>68</v>
      </c>
      <c r="P96" t="s">
        <v>69</v>
      </c>
      <c r="Q96" t="str">
        <f t="shared" si="7"/>
        <v>marie-laure.tressolgracia@berger-levrault.com</v>
      </c>
    </row>
    <row r="97" spans="1:17" x14ac:dyDescent="0.25">
      <c r="A97">
        <v>98</v>
      </c>
      <c r="B97" t="s">
        <v>32</v>
      </c>
      <c r="C97" t="str">
        <f t="shared" si="4"/>
        <v>xavier coic</v>
      </c>
      <c r="D97" t="s">
        <v>98</v>
      </c>
      <c r="E97" t="s">
        <v>67</v>
      </c>
      <c r="F97" t="s">
        <v>99</v>
      </c>
      <c r="G97" t="s">
        <v>68</v>
      </c>
      <c r="H97" t="s">
        <v>69</v>
      </c>
      <c r="I97" t="str">
        <f t="shared" si="5"/>
        <v>xavier.coic@berger-levrault.com</v>
      </c>
      <c r="J97" t="s">
        <v>5</v>
      </c>
      <c r="K97" t="str">
        <f t="shared" si="6"/>
        <v>karine raepsaet</v>
      </c>
      <c r="L97" t="s">
        <v>105</v>
      </c>
      <c r="M97" t="s">
        <v>67</v>
      </c>
      <c r="N97" t="s">
        <v>106</v>
      </c>
      <c r="O97" t="s">
        <v>68</v>
      </c>
      <c r="P97" t="s">
        <v>69</v>
      </c>
      <c r="Q97" t="str">
        <f t="shared" si="7"/>
        <v>karine.raepsaet@berger-levrault.com</v>
      </c>
    </row>
    <row r="98" spans="1:17" x14ac:dyDescent="0.25">
      <c r="A98">
        <v>980</v>
      </c>
      <c r="B98" t="s">
        <v>32</v>
      </c>
      <c r="C98" t="str">
        <f t="shared" si="4"/>
        <v>xavier coic</v>
      </c>
      <c r="D98" t="s">
        <v>98</v>
      </c>
      <c r="E98" t="s">
        <v>67</v>
      </c>
      <c r="F98" t="s">
        <v>99</v>
      </c>
      <c r="G98" t="s">
        <v>68</v>
      </c>
      <c r="H98" t="s">
        <v>69</v>
      </c>
      <c r="I98" t="str">
        <f t="shared" si="5"/>
        <v>xavier.coic@berger-levrault.com</v>
      </c>
      <c r="J98" t="s">
        <v>5</v>
      </c>
      <c r="K98" t="str">
        <f t="shared" si="6"/>
        <v>karine raepsaet</v>
      </c>
      <c r="L98" t="s">
        <v>105</v>
      </c>
      <c r="M98" t="s">
        <v>67</v>
      </c>
      <c r="N98" t="s">
        <v>106</v>
      </c>
      <c r="O98" t="s">
        <v>68</v>
      </c>
      <c r="P98" t="s">
        <v>69</v>
      </c>
      <c r="Q98" t="str">
        <f t="shared" si="7"/>
        <v>karine.raepsaet@berger-levrault.com</v>
      </c>
    </row>
    <row r="99" spans="1:17" x14ac:dyDescent="0.25">
      <c r="A99" t="s">
        <v>1</v>
      </c>
      <c r="B99" t="s">
        <v>32</v>
      </c>
      <c r="C99" t="str">
        <f t="shared" si="4"/>
        <v>xavier coic</v>
      </c>
      <c r="D99" t="s">
        <v>98</v>
      </c>
      <c r="E99" t="s">
        <v>67</v>
      </c>
      <c r="F99" t="s">
        <v>99</v>
      </c>
      <c r="G99" t="s">
        <v>68</v>
      </c>
      <c r="H99" t="s">
        <v>69</v>
      </c>
      <c r="I99" t="str">
        <f t="shared" si="5"/>
        <v>xavier.coic@berger-levrault.com</v>
      </c>
      <c r="J99" t="s">
        <v>5</v>
      </c>
      <c r="K99" t="str">
        <f t="shared" si="6"/>
        <v>karine raepsaet</v>
      </c>
      <c r="L99" t="s">
        <v>105</v>
      </c>
      <c r="M99" t="s">
        <v>67</v>
      </c>
      <c r="N99" t="s">
        <v>106</v>
      </c>
      <c r="O99" t="s">
        <v>68</v>
      </c>
      <c r="P99" t="s">
        <v>69</v>
      </c>
      <c r="Q99" t="str">
        <f t="shared" si="7"/>
        <v>karine.raepsaet@berger-levrault.com</v>
      </c>
    </row>
    <row r="100" spans="1:17" x14ac:dyDescent="0.25">
      <c r="A100" t="s">
        <v>2</v>
      </c>
      <c r="B100" t="s">
        <v>32</v>
      </c>
      <c r="C100" t="str">
        <f t="shared" si="4"/>
        <v>xavier coic</v>
      </c>
      <c r="D100" t="s">
        <v>98</v>
      </c>
      <c r="E100" t="s">
        <v>67</v>
      </c>
      <c r="F100" t="s">
        <v>99</v>
      </c>
      <c r="G100" t="s">
        <v>68</v>
      </c>
      <c r="H100" t="s">
        <v>69</v>
      </c>
      <c r="I100" t="str">
        <f t="shared" si="5"/>
        <v>xavier.coic@berger-levrault.com</v>
      </c>
      <c r="J100" t="s">
        <v>5</v>
      </c>
      <c r="K100" t="str">
        <f t="shared" si="6"/>
        <v>karine raepsaet</v>
      </c>
      <c r="L100" t="s">
        <v>105</v>
      </c>
      <c r="M100" t="s">
        <v>67</v>
      </c>
      <c r="N100" t="s">
        <v>106</v>
      </c>
      <c r="O100" t="s">
        <v>68</v>
      </c>
      <c r="P100" t="s">
        <v>69</v>
      </c>
      <c r="Q100" t="str">
        <f t="shared" si="7"/>
        <v>karine.raepsaet@berger-levrault.com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E881-AAEF-4A6F-BB81-1E8D14D19F00}">
  <dimension ref="A1:Q100"/>
  <sheetViews>
    <sheetView workbookViewId="0">
      <selection sqref="A1:XFD1048576"/>
    </sheetView>
  </sheetViews>
  <sheetFormatPr baseColWidth="10" defaultRowHeight="15" x14ac:dyDescent="0.25"/>
  <cols>
    <col min="2" max="2" width="14.28515625" bestFit="1" customWidth="1"/>
    <col min="3" max="3" width="12.28515625" bestFit="1" customWidth="1"/>
    <col min="9" max="9" width="30.28515625" bestFit="1" customWidth="1"/>
    <col min="17" max="17" width="31.7109375" bestFit="1" customWidth="1"/>
  </cols>
  <sheetData>
    <row r="1" spans="1:17" x14ac:dyDescent="0.25">
      <c r="A1" t="s">
        <v>0</v>
      </c>
      <c r="B1" s="11" t="s">
        <v>115</v>
      </c>
      <c r="J1" t="s">
        <v>49</v>
      </c>
    </row>
    <row r="2" spans="1:17" x14ac:dyDescent="0.25">
      <c r="A2">
        <v>1</v>
      </c>
      <c r="B2" t="s">
        <v>36</v>
      </c>
      <c r="C2" t="str">
        <f>LOWER(B2)</f>
        <v>virginie villiere</v>
      </c>
      <c r="D2" t="s">
        <v>70</v>
      </c>
      <c r="E2" t="s">
        <v>67</v>
      </c>
      <c r="F2" t="s">
        <v>112</v>
      </c>
      <c r="G2" t="s">
        <v>68</v>
      </c>
      <c r="H2" t="s">
        <v>69</v>
      </c>
      <c r="I2" t="str">
        <f>CONCATENATE(D2,E2,F2,G2,H2)</f>
        <v>virginie.villiere@berger-levrault.com</v>
      </c>
      <c r="J2" t="s">
        <v>5</v>
      </c>
      <c r="K2" t="str">
        <f>LOWER(J2)</f>
        <v>karine raepsaet</v>
      </c>
      <c r="L2" t="s">
        <v>105</v>
      </c>
      <c r="M2" t="s">
        <v>67</v>
      </c>
      <c r="N2" t="s">
        <v>106</v>
      </c>
      <c r="O2" t="s">
        <v>68</v>
      </c>
      <c r="P2" t="s">
        <v>69</v>
      </c>
      <c r="Q2" t="str">
        <f>CONCATENATE(L2,M2,N2,O2,P2)</f>
        <v>karine.raepsaet@berger-levrault.com</v>
      </c>
    </row>
    <row r="3" spans="1:17" x14ac:dyDescent="0.25">
      <c r="A3">
        <v>2</v>
      </c>
      <c r="B3" t="s">
        <v>36</v>
      </c>
      <c r="C3" t="str">
        <f t="shared" ref="C3:C66" si="0">LOWER(B3)</f>
        <v>virginie villiere</v>
      </c>
      <c r="D3" t="s">
        <v>70</v>
      </c>
      <c r="E3" t="s">
        <v>67</v>
      </c>
      <c r="F3" t="s">
        <v>112</v>
      </c>
      <c r="G3" t="s">
        <v>68</v>
      </c>
      <c r="H3" t="s">
        <v>69</v>
      </c>
      <c r="I3" t="str">
        <f t="shared" ref="I3:I66" si="1">CONCATENATE(D3,E3,F3,G3,H3)</f>
        <v>virginie.villiere@berger-levrault.com</v>
      </c>
      <c r="J3" t="s">
        <v>7</v>
      </c>
      <c r="K3" t="str">
        <f t="shared" ref="K3:K66" si="2">LOWER(J3)</f>
        <v>marie-laure tressol gracia</v>
      </c>
      <c r="L3" t="s">
        <v>107</v>
      </c>
      <c r="M3" t="s">
        <v>67</v>
      </c>
      <c r="N3" t="s">
        <v>111</v>
      </c>
      <c r="O3" t="s">
        <v>68</v>
      </c>
      <c r="P3" t="s">
        <v>69</v>
      </c>
      <c r="Q3" t="str">
        <f t="shared" ref="Q3:Q66" si="3">CONCATENATE(L3,M3,N3,O3,P3)</f>
        <v>marie-laure.tressolgracia@berger-levrault.com</v>
      </c>
    </row>
    <row r="4" spans="1:17" x14ac:dyDescent="0.25">
      <c r="A4">
        <v>3</v>
      </c>
      <c r="B4" t="s">
        <v>36</v>
      </c>
      <c r="C4" t="str">
        <f t="shared" si="0"/>
        <v>virginie villiere</v>
      </c>
      <c r="D4" t="s">
        <v>70</v>
      </c>
      <c r="E4" t="s">
        <v>67</v>
      </c>
      <c r="F4" t="s">
        <v>112</v>
      </c>
      <c r="G4" t="s">
        <v>68</v>
      </c>
      <c r="H4" t="s">
        <v>69</v>
      </c>
      <c r="I4" t="str">
        <f t="shared" si="1"/>
        <v>virginie.villiere@berger-levrault.com</v>
      </c>
      <c r="J4" t="s">
        <v>9</v>
      </c>
      <c r="K4" t="str">
        <f t="shared" si="2"/>
        <v>virginie bortolon</v>
      </c>
      <c r="L4" t="s">
        <v>70</v>
      </c>
      <c r="M4" t="s">
        <v>67</v>
      </c>
      <c r="N4" t="s">
        <v>108</v>
      </c>
      <c r="O4" t="s">
        <v>68</v>
      </c>
      <c r="P4" t="s">
        <v>69</v>
      </c>
      <c r="Q4" t="str">
        <f t="shared" si="3"/>
        <v>virginie.bortolon@berger-levrault.com</v>
      </c>
    </row>
    <row r="5" spans="1:17" x14ac:dyDescent="0.25">
      <c r="A5">
        <v>4</v>
      </c>
      <c r="B5" t="s">
        <v>36</v>
      </c>
      <c r="C5" t="str">
        <f t="shared" si="0"/>
        <v>virginie villiere</v>
      </c>
      <c r="D5" t="s">
        <v>70</v>
      </c>
      <c r="E5" t="s">
        <v>67</v>
      </c>
      <c r="F5" t="s">
        <v>112</v>
      </c>
      <c r="G5" t="s">
        <v>68</v>
      </c>
      <c r="H5" t="s">
        <v>69</v>
      </c>
      <c r="I5" t="str">
        <f t="shared" si="1"/>
        <v>virginie.villiere@berger-levrault.com</v>
      </c>
      <c r="J5" t="s">
        <v>5</v>
      </c>
      <c r="K5" t="str">
        <f t="shared" si="2"/>
        <v>karine raepsaet</v>
      </c>
      <c r="L5" t="s">
        <v>105</v>
      </c>
      <c r="M5" t="s">
        <v>67</v>
      </c>
      <c r="N5" t="s">
        <v>106</v>
      </c>
      <c r="O5" t="s">
        <v>68</v>
      </c>
      <c r="P5" t="s">
        <v>69</v>
      </c>
      <c r="Q5" t="str">
        <f t="shared" si="3"/>
        <v>karine.raepsaet@berger-levrault.com</v>
      </c>
    </row>
    <row r="6" spans="1:17" x14ac:dyDescent="0.25">
      <c r="A6">
        <v>5</v>
      </c>
      <c r="B6" t="s">
        <v>36</v>
      </c>
      <c r="C6" t="str">
        <f t="shared" si="0"/>
        <v>virginie villiere</v>
      </c>
      <c r="D6" t="s">
        <v>70</v>
      </c>
      <c r="E6" t="s">
        <v>67</v>
      </c>
      <c r="F6" t="s">
        <v>112</v>
      </c>
      <c r="G6" t="s">
        <v>68</v>
      </c>
      <c r="H6" t="s">
        <v>69</v>
      </c>
      <c r="I6" t="str">
        <f t="shared" si="1"/>
        <v>virginie.villiere@berger-levrault.com</v>
      </c>
      <c r="J6" t="s">
        <v>5</v>
      </c>
      <c r="K6" t="str">
        <f t="shared" si="2"/>
        <v>karine raepsaet</v>
      </c>
      <c r="L6" t="s">
        <v>105</v>
      </c>
      <c r="M6" t="s">
        <v>67</v>
      </c>
      <c r="N6" t="s">
        <v>106</v>
      </c>
      <c r="O6" t="s">
        <v>68</v>
      </c>
      <c r="P6" t="s">
        <v>69</v>
      </c>
      <c r="Q6" t="str">
        <f t="shared" si="3"/>
        <v>karine.raepsaet@berger-levrault.com</v>
      </c>
    </row>
    <row r="7" spans="1:17" x14ac:dyDescent="0.25">
      <c r="A7">
        <v>6</v>
      </c>
      <c r="B7" t="s">
        <v>36</v>
      </c>
      <c r="C7" t="str">
        <f t="shared" si="0"/>
        <v>virginie villiere</v>
      </c>
      <c r="D7" t="s">
        <v>70</v>
      </c>
      <c r="E7" t="s">
        <v>67</v>
      </c>
      <c r="F7" t="s">
        <v>112</v>
      </c>
      <c r="G7" t="s">
        <v>68</v>
      </c>
      <c r="H7" t="s">
        <v>69</v>
      </c>
      <c r="I7" t="str">
        <f t="shared" si="1"/>
        <v>virginie.villiere@berger-levrault.com</v>
      </c>
      <c r="J7" t="s">
        <v>5</v>
      </c>
      <c r="K7" t="str">
        <f t="shared" si="2"/>
        <v>karine raepsaet</v>
      </c>
      <c r="L7" t="s">
        <v>105</v>
      </c>
      <c r="M7" t="s">
        <v>67</v>
      </c>
      <c r="N7" t="s">
        <v>106</v>
      </c>
      <c r="O7" t="s">
        <v>68</v>
      </c>
      <c r="P7" t="s">
        <v>69</v>
      </c>
      <c r="Q7" t="str">
        <f t="shared" si="3"/>
        <v>karine.raepsaet@berger-levrault.com</v>
      </c>
    </row>
    <row r="8" spans="1:17" x14ac:dyDescent="0.25">
      <c r="A8">
        <v>7</v>
      </c>
      <c r="B8" t="s">
        <v>36</v>
      </c>
      <c r="C8" t="str">
        <f t="shared" si="0"/>
        <v>virginie villiere</v>
      </c>
      <c r="D8" t="s">
        <v>70</v>
      </c>
      <c r="E8" t="s">
        <v>67</v>
      </c>
      <c r="F8" t="s">
        <v>112</v>
      </c>
      <c r="G8" t="s">
        <v>68</v>
      </c>
      <c r="H8" t="s">
        <v>69</v>
      </c>
      <c r="I8" t="str">
        <f t="shared" si="1"/>
        <v>virginie.villiere@berger-levrault.com</v>
      </c>
      <c r="J8" t="s">
        <v>5</v>
      </c>
      <c r="K8" t="str">
        <f t="shared" si="2"/>
        <v>karine raepsaet</v>
      </c>
      <c r="L8" t="s">
        <v>105</v>
      </c>
      <c r="M8" t="s">
        <v>67</v>
      </c>
      <c r="N8" t="s">
        <v>106</v>
      </c>
      <c r="O8" t="s">
        <v>68</v>
      </c>
      <c r="P8" t="s">
        <v>69</v>
      </c>
      <c r="Q8" t="str">
        <f t="shared" si="3"/>
        <v>karine.raepsaet@berger-levrault.com</v>
      </c>
    </row>
    <row r="9" spans="1:17" x14ac:dyDescent="0.25">
      <c r="A9">
        <v>8</v>
      </c>
      <c r="B9" t="s">
        <v>36</v>
      </c>
      <c r="C9" t="str">
        <f t="shared" si="0"/>
        <v>virginie villiere</v>
      </c>
      <c r="D9" t="s">
        <v>70</v>
      </c>
      <c r="E9" t="s">
        <v>67</v>
      </c>
      <c r="F9" t="s">
        <v>112</v>
      </c>
      <c r="G9" t="s">
        <v>68</v>
      </c>
      <c r="H9" t="s">
        <v>69</v>
      </c>
      <c r="I9" t="str">
        <f t="shared" si="1"/>
        <v>virginie.villiere@berger-levrault.com</v>
      </c>
      <c r="J9" t="s">
        <v>7</v>
      </c>
      <c r="K9" t="str">
        <f t="shared" si="2"/>
        <v>marie-laure tressol gracia</v>
      </c>
      <c r="L9" t="s">
        <v>107</v>
      </c>
      <c r="M9" t="s">
        <v>67</v>
      </c>
      <c r="N9" t="s">
        <v>111</v>
      </c>
      <c r="O9" t="s">
        <v>68</v>
      </c>
      <c r="P9" t="s">
        <v>69</v>
      </c>
      <c r="Q9" t="str">
        <f t="shared" si="3"/>
        <v>marie-laure.tressolgracia@berger-levrault.com</v>
      </c>
    </row>
    <row r="10" spans="1:17" x14ac:dyDescent="0.25">
      <c r="A10">
        <v>9</v>
      </c>
      <c r="B10" t="s">
        <v>37</v>
      </c>
      <c r="C10" t="str">
        <f t="shared" si="0"/>
        <v>robinson sou</v>
      </c>
      <c r="D10" t="s">
        <v>113</v>
      </c>
      <c r="E10" t="s">
        <v>67</v>
      </c>
      <c r="F10" t="s">
        <v>114</v>
      </c>
      <c r="G10" t="s">
        <v>68</v>
      </c>
      <c r="H10" t="s">
        <v>69</v>
      </c>
      <c r="I10" t="str">
        <f t="shared" si="1"/>
        <v>robinson.sou@berger-levrault.com</v>
      </c>
      <c r="J10" t="s">
        <v>9</v>
      </c>
      <c r="K10" t="str">
        <f t="shared" si="2"/>
        <v>virginie bortolon</v>
      </c>
      <c r="L10" t="s">
        <v>70</v>
      </c>
      <c r="M10" t="s">
        <v>67</v>
      </c>
      <c r="N10" t="s">
        <v>108</v>
      </c>
      <c r="O10" t="s">
        <v>68</v>
      </c>
      <c r="P10" t="s">
        <v>69</v>
      </c>
      <c r="Q10" t="str">
        <f t="shared" si="3"/>
        <v>virginie.bortolon@berger-levrault.com</v>
      </c>
    </row>
    <row r="11" spans="1:17" x14ac:dyDescent="0.25">
      <c r="A11">
        <v>10</v>
      </c>
      <c r="B11" t="s">
        <v>36</v>
      </c>
      <c r="C11" t="str">
        <f t="shared" si="0"/>
        <v>virginie villiere</v>
      </c>
      <c r="D11" t="s">
        <v>70</v>
      </c>
      <c r="E11" t="s">
        <v>67</v>
      </c>
      <c r="F11" t="s">
        <v>112</v>
      </c>
      <c r="G11" t="s">
        <v>68</v>
      </c>
      <c r="H11" t="s">
        <v>69</v>
      </c>
      <c r="I11" t="str">
        <f t="shared" si="1"/>
        <v>virginie.villiere@berger-levrault.com</v>
      </c>
      <c r="J11" t="s">
        <v>9</v>
      </c>
      <c r="K11" t="str">
        <f t="shared" si="2"/>
        <v>virginie bortolon</v>
      </c>
      <c r="L11" t="s">
        <v>70</v>
      </c>
      <c r="M11" t="s">
        <v>67</v>
      </c>
      <c r="N11" t="s">
        <v>108</v>
      </c>
      <c r="O11" t="s">
        <v>68</v>
      </c>
      <c r="P11" t="s">
        <v>69</v>
      </c>
      <c r="Q11" t="str">
        <f t="shared" si="3"/>
        <v>virginie.bortolon@berger-levrault.com</v>
      </c>
    </row>
    <row r="12" spans="1:17" x14ac:dyDescent="0.25">
      <c r="A12">
        <v>11</v>
      </c>
      <c r="B12" t="s">
        <v>37</v>
      </c>
      <c r="C12" t="str">
        <f t="shared" si="0"/>
        <v>robinson sou</v>
      </c>
      <c r="D12" t="s">
        <v>113</v>
      </c>
      <c r="E12" t="s">
        <v>67</v>
      </c>
      <c r="F12" t="s">
        <v>114</v>
      </c>
      <c r="G12" t="s">
        <v>68</v>
      </c>
      <c r="H12" t="s">
        <v>69</v>
      </c>
      <c r="I12" t="str">
        <f t="shared" si="1"/>
        <v>robinson.sou@berger-levrault.com</v>
      </c>
      <c r="J12" t="s">
        <v>9</v>
      </c>
      <c r="K12" t="str">
        <f t="shared" si="2"/>
        <v>virginie bortolon</v>
      </c>
      <c r="L12" t="s">
        <v>70</v>
      </c>
      <c r="M12" t="s">
        <v>67</v>
      </c>
      <c r="N12" t="s">
        <v>108</v>
      </c>
      <c r="O12" t="s">
        <v>68</v>
      </c>
      <c r="P12" t="s">
        <v>69</v>
      </c>
      <c r="Q12" t="str">
        <f t="shared" si="3"/>
        <v>virginie.bortolon@berger-levrault.com</v>
      </c>
    </row>
    <row r="13" spans="1:17" x14ac:dyDescent="0.25">
      <c r="A13">
        <v>12</v>
      </c>
      <c r="B13" t="s">
        <v>37</v>
      </c>
      <c r="C13" t="str">
        <f t="shared" si="0"/>
        <v>robinson sou</v>
      </c>
      <c r="D13" t="s">
        <v>113</v>
      </c>
      <c r="E13" t="s">
        <v>67</v>
      </c>
      <c r="F13" t="s">
        <v>114</v>
      </c>
      <c r="G13" t="s">
        <v>68</v>
      </c>
      <c r="H13" t="s">
        <v>69</v>
      </c>
      <c r="I13" t="str">
        <f t="shared" si="1"/>
        <v>robinson.sou@berger-levrault.com</v>
      </c>
      <c r="J13" t="s">
        <v>9</v>
      </c>
      <c r="K13" t="str">
        <f t="shared" si="2"/>
        <v>virginie bortolon</v>
      </c>
      <c r="L13" t="s">
        <v>70</v>
      </c>
      <c r="M13" t="s">
        <v>67</v>
      </c>
      <c r="N13" t="s">
        <v>108</v>
      </c>
      <c r="O13" t="s">
        <v>68</v>
      </c>
      <c r="P13" t="s">
        <v>69</v>
      </c>
      <c r="Q13" t="str">
        <f t="shared" si="3"/>
        <v>virginie.bortolon@berger-levrault.com</v>
      </c>
    </row>
    <row r="14" spans="1:17" x14ac:dyDescent="0.25">
      <c r="A14">
        <v>13</v>
      </c>
      <c r="B14" t="s">
        <v>36</v>
      </c>
      <c r="C14" t="str">
        <f t="shared" si="0"/>
        <v>virginie villiere</v>
      </c>
      <c r="D14" t="s">
        <v>70</v>
      </c>
      <c r="E14" t="s">
        <v>67</v>
      </c>
      <c r="F14" t="s">
        <v>112</v>
      </c>
      <c r="G14" t="s">
        <v>68</v>
      </c>
      <c r="H14" t="s">
        <v>69</v>
      </c>
      <c r="I14" t="str">
        <f t="shared" si="1"/>
        <v>virginie.villiere@berger-levrault.com</v>
      </c>
      <c r="J14" t="s">
        <v>5</v>
      </c>
      <c r="K14" t="str">
        <f t="shared" si="2"/>
        <v>karine raepsaet</v>
      </c>
      <c r="L14" t="s">
        <v>105</v>
      </c>
      <c r="M14" t="s">
        <v>67</v>
      </c>
      <c r="N14" t="s">
        <v>106</v>
      </c>
      <c r="O14" t="s">
        <v>68</v>
      </c>
      <c r="P14" t="s">
        <v>69</v>
      </c>
      <c r="Q14" t="str">
        <f t="shared" si="3"/>
        <v>karine.raepsaet@berger-levrault.com</v>
      </c>
    </row>
    <row r="15" spans="1:17" x14ac:dyDescent="0.25">
      <c r="A15">
        <v>14</v>
      </c>
      <c r="B15" t="s">
        <v>37</v>
      </c>
      <c r="C15" t="str">
        <f t="shared" si="0"/>
        <v>robinson sou</v>
      </c>
      <c r="D15" t="s">
        <v>113</v>
      </c>
      <c r="E15" t="s">
        <v>67</v>
      </c>
      <c r="F15" t="s">
        <v>114</v>
      </c>
      <c r="G15" t="s">
        <v>68</v>
      </c>
      <c r="H15" t="s">
        <v>69</v>
      </c>
      <c r="I15" t="str">
        <f t="shared" si="1"/>
        <v>robinson.sou@berger-levrault.com</v>
      </c>
      <c r="J15" t="s">
        <v>15</v>
      </c>
      <c r="K15" t="str">
        <f t="shared" si="2"/>
        <v>virginie malgoire</v>
      </c>
      <c r="L15" t="s">
        <v>70</v>
      </c>
      <c r="M15" t="s">
        <v>67</v>
      </c>
      <c r="N15" t="s">
        <v>109</v>
      </c>
      <c r="O15" t="s">
        <v>68</v>
      </c>
      <c r="P15" t="s">
        <v>69</v>
      </c>
      <c r="Q15" t="str">
        <f t="shared" si="3"/>
        <v>virginie.malgoire@berger-levrault.com</v>
      </c>
    </row>
    <row r="16" spans="1:17" x14ac:dyDescent="0.25">
      <c r="A16">
        <v>15</v>
      </c>
      <c r="B16" t="s">
        <v>36</v>
      </c>
      <c r="C16" t="str">
        <f t="shared" si="0"/>
        <v>virginie villiere</v>
      </c>
      <c r="D16" t="s">
        <v>70</v>
      </c>
      <c r="E16" t="s">
        <v>67</v>
      </c>
      <c r="F16" t="s">
        <v>112</v>
      </c>
      <c r="G16" t="s">
        <v>68</v>
      </c>
      <c r="H16" t="s">
        <v>69</v>
      </c>
      <c r="I16" t="str">
        <f t="shared" si="1"/>
        <v>virginie.villiere@berger-levrault.com</v>
      </c>
      <c r="J16" t="s">
        <v>9</v>
      </c>
      <c r="K16" t="str">
        <f t="shared" si="2"/>
        <v>virginie bortolon</v>
      </c>
      <c r="L16" t="s">
        <v>70</v>
      </c>
      <c r="M16" t="s">
        <v>67</v>
      </c>
      <c r="N16" t="s">
        <v>108</v>
      </c>
      <c r="O16" t="s">
        <v>68</v>
      </c>
      <c r="P16" t="s">
        <v>69</v>
      </c>
      <c r="Q16" t="str">
        <f t="shared" si="3"/>
        <v>virginie.bortolon@berger-levrault.com</v>
      </c>
    </row>
    <row r="17" spans="1:17" x14ac:dyDescent="0.25">
      <c r="A17">
        <v>16</v>
      </c>
      <c r="B17" t="s">
        <v>37</v>
      </c>
      <c r="C17" t="str">
        <f t="shared" si="0"/>
        <v>robinson sou</v>
      </c>
      <c r="D17" t="s">
        <v>113</v>
      </c>
      <c r="E17" t="s">
        <v>67</v>
      </c>
      <c r="F17" t="s">
        <v>114</v>
      </c>
      <c r="G17" t="s">
        <v>68</v>
      </c>
      <c r="H17" t="s">
        <v>69</v>
      </c>
      <c r="I17" t="str">
        <f t="shared" si="1"/>
        <v>robinson.sou@berger-levrault.com</v>
      </c>
      <c r="J17" t="s">
        <v>9</v>
      </c>
      <c r="K17" t="str">
        <f t="shared" si="2"/>
        <v>virginie bortolon</v>
      </c>
      <c r="L17" t="s">
        <v>70</v>
      </c>
      <c r="M17" t="s">
        <v>67</v>
      </c>
      <c r="N17" t="s">
        <v>108</v>
      </c>
      <c r="O17" t="s">
        <v>68</v>
      </c>
      <c r="P17" t="s">
        <v>69</v>
      </c>
      <c r="Q17" t="str">
        <f t="shared" si="3"/>
        <v>virginie.bortolon@berger-levrault.com</v>
      </c>
    </row>
    <row r="18" spans="1:17" x14ac:dyDescent="0.25">
      <c r="A18">
        <v>17</v>
      </c>
      <c r="B18" t="s">
        <v>37</v>
      </c>
      <c r="C18" t="str">
        <f t="shared" si="0"/>
        <v>robinson sou</v>
      </c>
      <c r="D18" t="s">
        <v>113</v>
      </c>
      <c r="E18" t="s">
        <v>67</v>
      </c>
      <c r="F18" t="s">
        <v>114</v>
      </c>
      <c r="G18" t="s">
        <v>68</v>
      </c>
      <c r="H18" t="s">
        <v>69</v>
      </c>
      <c r="I18" t="str">
        <f t="shared" si="1"/>
        <v>robinson.sou@berger-levrault.com</v>
      </c>
      <c r="J18" t="s">
        <v>9</v>
      </c>
      <c r="K18" t="str">
        <f t="shared" si="2"/>
        <v>virginie bortolon</v>
      </c>
      <c r="L18" t="s">
        <v>70</v>
      </c>
      <c r="M18" t="s">
        <v>67</v>
      </c>
      <c r="N18" t="s">
        <v>108</v>
      </c>
      <c r="O18" t="s">
        <v>68</v>
      </c>
      <c r="P18" t="s">
        <v>69</v>
      </c>
      <c r="Q18" t="str">
        <f t="shared" si="3"/>
        <v>virginie.bortolon@berger-levrault.com</v>
      </c>
    </row>
    <row r="19" spans="1:17" x14ac:dyDescent="0.25">
      <c r="A19">
        <v>18</v>
      </c>
      <c r="B19" t="s">
        <v>37</v>
      </c>
      <c r="C19" t="str">
        <f t="shared" si="0"/>
        <v>robinson sou</v>
      </c>
      <c r="D19" t="s">
        <v>113</v>
      </c>
      <c r="E19" t="s">
        <v>67</v>
      </c>
      <c r="F19" t="s">
        <v>114</v>
      </c>
      <c r="G19" t="s">
        <v>68</v>
      </c>
      <c r="H19" t="s">
        <v>69</v>
      </c>
      <c r="I19" t="str">
        <f t="shared" si="1"/>
        <v>robinson.sou@berger-levrault.com</v>
      </c>
      <c r="J19" t="s">
        <v>9</v>
      </c>
      <c r="K19" t="str">
        <f t="shared" si="2"/>
        <v>virginie bortolon</v>
      </c>
      <c r="L19" t="s">
        <v>70</v>
      </c>
      <c r="M19" t="s">
        <v>67</v>
      </c>
      <c r="N19" t="s">
        <v>108</v>
      </c>
      <c r="O19" t="s">
        <v>68</v>
      </c>
      <c r="P19" t="s">
        <v>69</v>
      </c>
      <c r="Q19" t="str">
        <f t="shared" si="3"/>
        <v>virginie.bortolon@berger-levrault.com</v>
      </c>
    </row>
    <row r="20" spans="1:17" x14ac:dyDescent="0.25">
      <c r="A20">
        <v>19</v>
      </c>
      <c r="B20" t="s">
        <v>37</v>
      </c>
      <c r="C20" t="str">
        <f t="shared" si="0"/>
        <v>robinson sou</v>
      </c>
      <c r="D20" t="s">
        <v>113</v>
      </c>
      <c r="E20" t="s">
        <v>67</v>
      </c>
      <c r="F20" t="s">
        <v>114</v>
      </c>
      <c r="G20" t="s">
        <v>68</v>
      </c>
      <c r="H20" t="s">
        <v>69</v>
      </c>
      <c r="I20" t="str">
        <f t="shared" si="1"/>
        <v>robinson.sou@berger-levrault.com</v>
      </c>
      <c r="J20" t="s">
        <v>9</v>
      </c>
      <c r="K20" t="str">
        <f t="shared" si="2"/>
        <v>virginie bortolon</v>
      </c>
      <c r="L20" t="s">
        <v>70</v>
      </c>
      <c r="M20" t="s">
        <v>67</v>
      </c>
      <c r="N20" t="s">
        <v>108</v>
      </c>
      <c r="O20" t="s">
        <v>68</v>
      </c>
      <c r="P20" t="s">
        <v>69</v>
      </c>
      <c r="Q20" t="str">
        <f t="shared" si="3"/>
        <v>virginie.bortolon@berger-levrault.com</v>
      </c>
    </row>
    <row r="21" spans="1:17" x14ac:dyDescent="0.25">
      <c r="A21">
        <v>20</v>
      </c>
      <c r="B21" t="s">
        <v>36</v>
      </c>
      <c r="C21" t="str">
        <f t="shared" si="0"/>
        <v>virginie villiere</v>
      </c>
      <c r="D21" t="s">
        <v>70</v>
      </c>
      <c r="E21" t="s">
        <v>67</v>
      </c>
      <c r="F21" t="s">
        <v>112</v>
      </c>
      <c r="G21" t="s">
        <v>68</v>
      </c>
      <c r="H21" t="s">
        <v>69</v>
      </c>
      <c r="I21" t="str">
        <f t="shared" si="1"/>
        <v>virginie.villiere@berger-levrault.com</v>
      </c>
      <c r="J21" t="s">
        <v>5</v>
      </c>
      <c r="K21" t="str">
        <f t="shared" si="2"/>
        <v>karine raepsaet</v>
      </c>
      <c r="L21" t="s">
        <v>105</v>
      </c>
      <c r="M21" t="s">
        <v>67</v>
      </c>
      <c r="N21" t="s">
        <v>106</v>
      </c>
      <c r="O21" t="s">
        <v>68</v>
      </c>
      <c r="P21" t="s">
        <v>69</v>
      </c>
      <c r="Q21" t="str">
        <f t="shared" si="3"/>
        <v>karine.raepsaet@berger-levrault.com</v>
      </c>
    </row>
    <row r="22" spans="1:17" x14ac:dyDescent="0.25">
      <c r="A22">
        <v>21</v>
      </c>
      <c r="B22" t="s">
        <v>36</v>
      </c>
      <c r="C22" t="str">
        <f t="shared" si="0"/>
        <v>virginie villiere</v>
      </c>
      <c r="D22" t="s">
        <v>70</v>
      </c>
      <c r="E22" t="s">
        <v>67</v>
      </c>
      <c r="F22" t="s">
        <v>112</v>
      </c>
      <c r="G22" t="s">
        <v>68</v>
      </c>
      <c r="H22" t="s">
        <v>69</v>
      </c>
      <c r="I22" t="str">
        <f t="shared" si="1"/>
        <v>virginie.villiere@berger-levrault.com</v>
      </c>
      <c r="J22" t="s">
        <v>9</v>
      </c>
      <c r="K22" t="str">
        <f t="shared" si="2"/>
        <v>virginie bortolon</v>
      </c>
      <c r="L22" t="s">
        <v>70</v>
      </c>
      <c r="M22" t="s">
        <v>67</v>
      </c>
      <c r="N22" t="s">
        <v>108</v>
      </c>
      <c r="O22" t="s">
        <v>68</v>
      </c>
      <c r="P22" t="s">
        <v>69</v>
      </c>
      <c r="Q22" t="str">
        <f t="shared" si="3"/>
        <v>virginie.bortolon@berger-levrault.com</v>
      </c>
    </row>
    <row r="23" spans="1:17" x14ac:dyDescent="0.25">
      <c r="A23">
        <v>22</v>
      </c>
      <c r="B23" t="s">
        <v>37</v>
      </c>
      <c r="C23" t="str">
        <f t="shared" si="0"/>
        <v>robinson sou</v>
      </c>
      <c r="D23" t="s">
        <v>113</v>
      </c>
      <c r="E23" t="s">
        <v>67</v>
      </c>
      <c r="F23" t="s">
        <v>114</v>
      </c>
      <c r="G23" t="s">
        <v>68</v>
      </c>
      <c r="H23" t="s">
        <v>69</v>
      </c>
      <c r="I23" t="str">
        <f t="shared" si="1"/>
        <v>robinson.sou@berger-levrault.com</v>
      </c>
      <c r="J23" t="s">
        <v>15</v>
      </c>
      <c r="K23" t="str">
        <f t="shared" si="2"/>
        <v>virginie malgoire</v>
      </c>
      <c r="L23" t="s">
        <v>70</v>
      </c>
      <c r="M23" t="s">
        <v>67</v>
      </c>
      <c r="N23" t="s">
        <v>109</v>
      </c>
      <c r="O23" t="s">
        <v>68</v>
      </c>
      <c r="P23" t="s">
        <v>69</v>
      </c>
      <c r="Q23" t="str">
        <f t="shared" si="3"/>
        <v>virginie.malgoire@berger-levrault.com</v>
      </c>
    </row>
    <row r="24" spans="1:17" x14ac:dyDescent="0.25">
      <c r="A24">
        <v>23</v>
      </c>
      <c r="B24" t="s">
        <v>37</v>
      </c>
      <c r="C24" t="str">
        <f t="shared" si="0"/>
        <v>robinson sou</v>
      </c>
      <c r="D24" t="s">
        <v>113</v>
      </c>
      <c r="E24" t="s">
        <v>67</v>
      </c>
      <c r="F24" t="s">
        <v>114</v>
      </c>
      <c r="G24" t="s">
        <v>68</v>
      </c>
      <c r="H24" t="s">
        <v>69</v>
      </c>
      <c r="I24" t="str">
        <f t="shared" si="1"/>
        <v>robinson.sou@berger-levrault.com</v>
      </c>
      <c r="J24" t="s">
        <v>9</v>
      </c>
      <c r="K24" t="str">
        <f t="shared" si="2"/>
        <v>virginie bortolon</v>
      </c>
      <c r="L24" t="s">
        <v>70</v>
      </c>
      <c r="M24" t="s">
        <v>67</v>
      </c>
      <c r="N24" t="s">
        <v>108</v>
      </c>
      <c r="O24" t="s">
        <v>68</v>
      </c>
      <c r="P24" t="s">
        <v>69</v>
      </c>
      <c r="Q24" t="str">
        <f t="shared" si="3"/>
        <v>virginie.bortolon@berger-levrault.com</v>
      </c>
    </row>
    <row r="25" spans="1:17" x14ac:dyDescent="0.25">
      <c r="A25">
        <v>24</v>
      </c>
      <c r="B25" t="s">
        <v>37</v>
      </c>
      <c r="C25" t="str">
        <f t="shared" si="0"/>
        <v>robinson sou</v>
      </c>
      <c r="D25" t="s">
        <v>113</v>
      </c>
      <c r="E25" t="s">
        <v>67</v>
      </c>
      <c r="F25" t="s">
        <v>114</v>
      </c>
      <c r="G25" t="s">
        <v>68</v>
      </c>
      <c r="H25" t="s">
        <v>69</v>
      </c>
      <c r="I25" t="str">
        <f t="shared" si="1"/>
        <v>robinson.sou@berger-levrault.com</v>
      </c>
      <c r="J25" t="s">
        <v>9</v>
      </c>
      <c r="K25" t="str">
        <f t="shared" si="2"/>
        <v>virginie bortolon</v>
      </c>
      <c r="L25" t="s">
        <v>70</v>
      </c>
      <c r="M25" t="s">
        <v>67</v>
      </c>
      <c r="N25" t="s">
        <v>108</v>
      </c>
      <c r="O25" t="s">
        <v>68</v>
      </c>
      <c r="P25" t="s">
        <v>69</v>
      </c>
      <c r="Q25" t="str">
        <f t="shared" si="3"/>
        <v>virginie.bortolon@berger-levrault.com</v>
      </c>
    </row>
    <row r="26" spans="1:17" x14ac:dyDescent="0.25">
      <c r="A26">
        <v>25</v>
      </c>
      <c r="B26" t="s">
        <v>36</v>
      </c>
      <c r="C26" t="str">
        <f t="shared" si="0"/>
        <v>virginie villiere</v>
      </c>
      <c r="D26" t="s">
        <v>70</v>
      </c>
      <c r="E26" t="s">
        <v>67</v>
      </c>
      <c r="F26" t="s">
        <v>112</v>
      </c>
      <c r="G26" t="s">
        <v>68</v>
      </c>
      <c r="H26" t="s">
        <v>69</v>
      </c>
      <c r="I26" t="str">
        <f t="shared" si="1"/>
        <v>virginie.villiere@berger-levrault.com</v>
      </c>
      <c r="J26" t="s">
        <v>5</v>
      </c>
      <c r="K26" t="str">
        <f t="shared" si="2"/>
        <v>karine raepsaet</v>
      </c>
      <c r="L26" t="s">
        <v>105</v>
      </c>
      <c r="M26" t="s">
        <v>67</v>
      </c>
      <c r="N26" t="s">
        <v>106</v>
      </c>
      <c r="O26" t="s">
        <v>68</v>
      </c>
      <c r="P26" t="s">
        <v>69</v>
      </c>
      <c r="Q26" t="str">
        <f t="shared" si="3"/>
        <v>karine.raepsaet@berger-levrault.com</v>
      </c>
    </row>
    <row r="27" spans="1:17" x14ac:dyDescent="0.25">
      <c r="A27">
        <v>26</v>
      </c>
      <c r="B27" t="s">
        <v>36</v>
      </c>
      <c r="C27" t="str">
        <f t="shared" si="0"/>
        <v>virginie villiere</v>
      </c>
      <c r="D27" t="s">
        <v>70</v>
      </c>
      <c r="E27" t="s">
        <v>67</v>
      </c>
      <c r="F27" t="s">
        <v>112</v>
      </c>
      <c r="G27" t="s">
        <v>68</v>
      </c>
      <c r="H27" t="s">
        <v>69</v>
      </c>
      <c r="I27" t="str">
        <f t="shared" si="1"/>
        <v>virginie.villiere@berger-levrault.com</v>
      </c>
      <c r="J27" t="s">
        <v>5</v>
      </c>
      <c r="K27" t="str">
        <f t="shared" si="2"/>
        <v>karine raepsaet</v>
      </c>
      <c r="L27" t="s">
        <v>105</v>
      </c>
      <c r="M27" t="s">
        <v>67</v>
      </c>
      <c r="N27" t="s">
        <v>106</v>
      </c>
      <c r="O27" t="s">
        <v>68</v>
      </c>
      <c r="P27" t="s">
        <v>69</v>
      </c>
      <c r="Q27" t="str">
        <f t="shared" si="3"/>
        <v>karine.raepsaet@berger-levrault.com</v>
      </c>
    </row>
    <row r="28" spans="1:17" x14ac:dyDescent="0.25">
      <c r="A28">
        <v>27</v>
      </c>
      <c r="B28" t="s">
        <v>37</v>
      </c>
      <c r="C28" t="str">
        <f t="shared" si="0"/>
        <v>robinson sou</v>
      </c>
      <c r="D28" t="s">
        <v>113</v>
      </c>
      <c r="E28" t="s">
        <v>67</v>
      </c>
      <c r="F28" t="s">
        <v>114</v>
      </c>
      <c r="G28" t="s">
        <v>68</v>
      </c>
      <c r="H28" t="s">
        <v>69</v>
      </c>
      <c r="I28" t="str">
        <f t="shared" si="1"/>
        <v>robinson.sou@berger-levrault.com</v>
      </c>
      <c r="J28" t="s">
        <v>15</v>
      </c>
      <c r="K28" t="str">
        <f t="shared" si="2"/>
        <v>virginie malgoire</v>
      </c>
      <c r="L28" t="s">
        <v>70</v>
      </c>
      <c r="M28" t="s">
        <v>67</v>
      </c>
      <c r="N28" t="s">
        <v>109</v>
      </c>
      <c r="O28" t="s">
        <v>68</v>
      </c>
      <c r="P28" t="s">
        <v>69</v>
      </c>
      <c r="Q28" t="str">
        <f t="shared" si="3"/>
        <v>virginie.malgoire@berger-levrault.com</v>
      </c>
    </row>
    <row r="29" spans="1:17" x14ac:dyDescent="0.25">
      <c r="A29">
        <v>28</v>
      </c>
      <c r="B29" t="s">
        <v>37</v>
      </c>
      <c r="C29" t="str">
        <f t="shared" si="0"/>
        <v>robinson sou</v>
      </c>
      <c r="D29" t="s">
        <v>113</v>
      </c>
      <c r="E29" t="s">
        <v>67</v>
      </c>
      <c r="F29" t="s">
        <v>114</v>
      </c>
      <c r="G29" t="s">
        <v>68</v>
      </c>
      <c r="H29" t="s">
        <v>69</v>
      </c>
      <c r="I29" t="str">
        <f t="shared" si="1"/>
        <v>robinson.sou@berger-levrault.com</v>
      </c>
      <c r="J29" t="s">
        <v>15</v>
      </c>
      <c r="K29" t="str">
        <f t="shared" si="2"/>
        <v>virginie malgoire</v>
      </c>
      <c r="L29" t="s">
        <v>70</v>
      </c>
      <c r="M29" t="s">
        <v>67</v>
      </c>
      <c r="N29" t="s">
        <v>109</v>
      </c>
      <c r="O29" t="s">
        <v>68</v>
      </c>
      <c r="P29" t="s">
        <v>69</v>
      </c>
      <c r="Q29" t="str">
        <f t="shared" si="3"/>
        <v>virginie.malgoire@berger-levrault.com</v>
      </c>
    </row>
    <row r="30" spans="1:17" x14ac:dyDescent="0.25">
      <c r="A30">
        <v>29</v>
      </c>
      <c r="B30" t="s">
        <v>37</v>
      </c>
      <c r="C30" t="str">
        <f t="shared" si="0"/>
        <v>robinson sou</v>
      </c>
      <c r="D30" t="s">
        <v>113</v>
      </c>
      <c r="E30" t="s">
        <v>67</v>
      </c>
      <c r="F30" t="s">
        <v>114</v>
      </c>
      <c r="G30" t="s">
        <v>68</v>
      </c>
      <c r="H30" t="s">
        <v>69</v>
      </c>
      <c r="I30" t="str">
        <f t="shared" si="1"/>
        <v>robinson.sou@berger-levrault.com</v>
      </c>
      <c r="J30" t="s">
        <v>15</v>
      </c>
      <c r="K30" t="str">
        <f t="shared" si="2"/>
        <v>virginie malgoire</v>
      </c>
      <c r="L30" t="s">
        <v>70</v>
      </c>
      <c r="M30" t="s">
        <v>67</v>
      </c>
      <c r="N30" t="s">
        <v>109</v>
      </c>
      <c r="O30" t="s">
        <v>68</v>
      </c>
      <c r="P30" t="s">
        <v>69</v>
      </c>
      <c r="Q30" t="str">
        <f t="shared" si="3"/>
        <v>virginie.malgoire@berger-levrault.com</v>
      </c>
    </row>
    <row r="31" spans="1:17" x14ac:dyDescent="0.25">
      <c r="A31">
        <v>30</v>
      </c>
      <c r="B31" t="s">
        <v>37</v>
      </c>
      <c r="C31" t="str">
        <f t="shared" si="0"/>
        <v>robinson sou</v>
      </c>
      <c r="D31" t="s">
        <v>113</v>
      </c>
      <c r="E31" t="s">
        <v>67</v>
      </c>
      <c r="F31" t="s">
        <v>114</v>
      </c>
      <c r="G31" t="s">
        <v>68</v>
      </c>
      <c r="H31" t="s">
        <v>69</v>
      </c>
      <c r="I31" t="str">
        <f t="shared" si="1"/>
        <v>robinson.sou@berger-levrault.com</v>
      </c>
      <c r="J31" t="s">
        <v>9</v>
      </c>
      <c r="K31" t="str">
        <f t="shared" si="2"/>
        <v>virginie bortolon</v>
      </c>
      <c r="L31" t="s">
        <v>70</v>
      </c>
      <c r="M31" t="s">
        <v>67</v>
      </c>
      <c r="N31" t="s">
        <v>108</v>
      </c>
      <c r="O31" t="s">
        <v>68</v>
      </c>
      <c r="P31" t="s">
        <v>69</v>
      </c>
      <c r="Q31" t="str">
        <f t="shared" si="3"/>
        <v>virginie.bortolon@berger-levrault.com</v>
      </c>
    </row>
    <row r="32" spans="1:17" x14ac:dyDescent="0.25">
      <c r="A32">
        <v>31</v>
      </c>
      <c r="B32" t="s">
        <v>37</v>
      </c>
      <c r="C32" t="str">
        <f t="shared" si="0"/>
        <v>robinson sou</v>
      </c>
      <c r="D32" t="s">
        <v>113</v>
      </c>
      <c r="E32" t="s">
        <v>67</v>
      </c>
      <c r="F32" t="s">
        <v>114</v>
      </c>
      <c r="G32" t="s">
        <v>68</v>
      </c>
      <c r="H32" t="s">
        <v>69</v>
      </c>
      <c r="I32" t="str">
        <f t="shared" si="1"/>
        <v>robinson.sou@berger-levrault.com</v>
      </c>
      <c r="J32" t="s">
        <v>9</v>
      </c>
      <c r="K32" t="str">
        <f t="shared" si="2"/>
        <v>virginie bortolon</v>
      </c>
      <c r="L32" t="s">
        <v>70</v>
      </c>
      <c r="M32" t="s">
        <v>67</v>
      </c>
      <c r="N32" t="s">
        <v>108</v>
      </c>
      <c r="O32" t="s">
        <v>68</v>
      </c>
      <c r="P32" t="s">
        <v>69</v>
      </c>
      <c r="Q32" t="str">
        <f t="shared" si="3"/>
        <v>virginie.bortolon@berger-levrault.com</v>
      </c>
    </row>
    <row r="33" spans="1:17" x14ac:dyDescent="0.25">
      <c r="A33">
        <v>32</v>
      </c>
      <c r="B33" t="s">
        <v>37</v>
      </c>
      <c r="C33" t="str">
        <f t="shared" si="0"/>
        <v>robinson sou</v>
      </c>
      <c r="D33" t="s">
        <v>113</v>
      </c>
      <c r="E33" t="s">
        <v>67</v>
      </c>
      <c r="F33" t="s">
        <v>114</v>
      </c>
      <c r="G33" t="s">
        <v>68</v>
      </c>
      <c r="H33" t="s">
        <v>69</v>
      </c>
      <c r="I33" t="str">
        <f t="shared" si="1"/>
        <v>robinson.sou@berger-levrault.com</v>
      </c>
      <c r="J33" t="s">
        <v>9</v>
      </c>
      <c r="K33" t="str">
        <f t="shared" si="2"/>
        <v>virginie bortolon</v>
      </c>
      <c r="L33" t="s">
        <v>70</v>
      </c>
      <c r="M33" t="s">
        <v>67</v>
      </c>
      <c r="N33" t="s">
        <v>108</v>
      </c>
      <c r="O33" t="s">
        <v>68</v>
      </c>
      <c r="P33" t="s">
        <v>69</v>
      </c>
      <c r="Q33" t="str">
        <f t="shared" si="3"/>
        <v>virginie.bortolon@berger-levrault.com</v>
      </c>
    </row>
    <row r="34" spans="1:17" x14ac:dyDescent="0.25">
      <c r="A34">
        <v>33</v>
      </c>
      <c r="B34" t="s">
        <v>37</v>
      </c>
      <c r="C34" t="str">
        <f t="shared" si="0"/>
        <v>robinson sou</v>
      </c>
      <c r="D34" t="s">
        <v>113</v>
      </c>
      <c r="E34" t="s">
        <v>67</v>
      </c>
      <c r="F34" t="s">
        <v>114</v>
      </c>
      <c r="G34" t="s">
        <v>68</v>
      </c>
      <c r="H34" t="s">
        <v>69</v>
      </c>
      <c r="I34" t="str">
        <f t="shared" si="1"/>
        <v>robinson.sou@berger-levrault.com</v>
      </c>
      <c r="J34" t="s">
        <v>9</v>
      </c>
      <c r="K34" t="str">
        <f t="shared" si="2"/>
        <v>virginie bortolon</v>
      </c>
      <c r="L34" t="s">
        <v>70</v>
      </c>
      <c r="M34" t="s">
        <v>67</v>
      </c>
      <c r="N34" t="s">
        <v>108</v>
      </c>
      <c r="O34" t="s">
        <v>68</v>
      </c>
      <c r="P34" t="s">
        <v>69</v>
      </c>
      <c r="Q34" t="str">
        <f t="shared" si="3"/>
        <v>virginie.bortolon@berger-levrault.com</v>
      </c>
    </row>
    <row r="35" spans="1:17" x14ac:dyDescent="0.25">
      <c r="A35">
        <v>34</v>
      </c>
      <c r="B35" t="s">
        <v>37</v>
      </c>
      <c r="C35" t="str">
        <f t="shared" si="0"/>
        <v>robinson sou</v>
      </c>
      <c r="D35" t="s">
        <v>113</v>
      </c>
      <c r="E35" t="s">
        <v>67</v>
      </c>
      <c r="F35" t="s">
        <v>114</v>
      </c>
      <c r="G35" t="s">
        <v>68</v>
      </c>
      <c r="H35" t="s">
        <v>69</v>
      </c>
      <c r="I35" t="str">
        <f t="shared" si="1"/>
        <v>robinson.sou@berger-levrault.com</v>
      </c>
      <c r="J35" t="s">
        <v>9</v>
      </c>
      <c r="K35" t="str">
        <f t="shared" si="2"/>
        <v>virginie bortolon</v>
      </c>
      <c r="L35" t="s">
        <v>70</v>
      </c>
      <c r="M35" t="s">
        <v>67</v>
      </c>
      <c r="N35" t="s">
        <v>108</v>
      </c>
      <c r="O35" t="s">
        <v>68</v>
      </c>
      <c r="P35" t="s">
        <v>69</v>
      </c>
      <c r="Q35" t="str">
        <f t="shared" si="3"/>
        <v>virginie.bortolon@berger-levrault.com</v>
      </c>
    </row>
    <row r="36" spans="1:17" x14ac:dyDescent="0.25">
      <c r="A36">
        <v>35</v>
      </c>
      <c r="B36" t="s">
        <v>37</v>
      </c>
      <c r="C36" t="str">
        <f t="shared" si="0"/>
        <v>robinson sou</v>
      </c>
      <c r="D36" t="s">
        <v>113</v>
      </c>
      <c r="E36" t="s">
        <v>67</v>
      </c>
      <c r="F36" t="s">
        <v>114</v>
      </c>
      <c r="G36" t="s">
        <v>68</v>
      </c>
      <c r="H36" t="s">
        <v>69</v>
      </c>
      <c r="I36" t="str">
        <f t="shared" si="1"/>
        <v>robinson.sou@berger-levrault.com</v>
      </c>
      <c r="J36" t="s">
        <v>15</v>
      </c>
      <c r="K36" t="str">
        <f t="shared" si="2"/>
        <v>virginie malgoire</v>
      </c>
      <c r="L36" t="s">
        <v>70</v>
      </c>
      <c r="M36" t="s">
        <v>67</v>
      </c>
      <c r="N36" t="s">
        <v>109</v>
      </c>
      <c r="O36" t="s">
        <v>68</v>
      </c>
      <c r="P36" t="s">
        <v>69</v>
      </c>
      <c r="Q36" t="str">
        <f t="shared" si="3"/>
        <v>virginie.malgoire@berger-levrault.com</v>
      </c>
    </row>
    <row r="37" spans="1:17" x14ac:dyDescent="0.25">
      <c r="A37">
        <v>36</v>
      </c>
      <c r="B37" t="s">
        <v>37</v>
      </c>
      <c r="C37" t="str">
        <f t="shared" si="0"/>
        <v>robinson sou</v>
      </c>
      <c r="D37" t="s">
        <v>113</v>
      </c>
      <c r="E37" t="s">
        <v>67</v>
      </c>
      <c r="F37" t="s">
        <v>114</v>
      </c>
      <c r="G37" t="s">
        <v>68</v>
      </c>
      <c r="H37" t="s">
        <v>69</v>
      </c>
      <c r="I37" t="str">
        <f t="shared" si="1"/>
        <v>robinson.sou@berger-levrault.com</v>
      </c>
      <c r="J37" t="s">
        <v>15</v>
      </c>
      <c r="K37" t="str">
        <f t="shared" si="2"/>
        <v>virginie malgoire</v>
      </c>
      <c r="L37" t="s">
        <v>70</v>
      </c>
      <c r="M37" t="s">
        <v>67</v>
      </c>
      <c r="N37" t="s">
        <v>109</v>
      </c>
      <c r="O37" t="s">
        <v>68</v>
      </c>
      <c r="P37" t="s">
        <v>69</v>
      </c>
      <c r="Q37" t="str">
        <f t="shared" si="3"/>
        <v>virginie.malgoire@berger-levrault.com</v>
      </c>
    </row>
    <row r="38" spans="1:17" x14ac:dyDescent="0.25">
      <c r="A38">
        <v>37</v>
      </c>
      <c r="B38" t="s">
        <v>37</v>
      </c>
      <c r="C38" t="str">
        <f t="shared" si="0"/>
        <v>robinson sou</v>
      </c>
      <c r="D38" t="s">
        <v>113</v>
      </c>
      <c r="E38" t="s">
        <v>67</v>
      </c>
      <c r="F38" t="s">
        <v>114</v>
      </c>
      <c r="G38" t="s">
        <v>68</v>
      </c>
      <c r="H38" t="s">
        <v>69</v>
      </c>
      <c r="I38" t="str">
        <f t="shared" si="1"/>
        <v>robinson.sou@berger-levrault.com</v>
      </c>
      <c r="J38" t="s">
        <v>15</v>
      </c>
      <c r="K38" t="str">
        <f t="shared" si="2"/>
        <v>virginie malgoire</v>
      </c>
      <c r="L38" t="s">
        <v>70</v>
      </c>
      <c r="M38" t="s">
        <v>67</v>
      </c>
      <c r="N38" t="s">
        <v>109</v>
      </c>
      <c r="O38" t="s">
        <v>68</v>
      </c>
      <c r="P38" t="s">
        <v>69</v>
      </c>
      <c r="Q38" t="str">
        <f t="shared" si="3"/>
        <v>virginie.malgoire@berger-levrault.com</v>
      </c>
    </row>
    <row r="39" spans="1:17" x14ac:dyDescent="0.25">
      <c r="A39">
        <v>38</v>
      </c>
      <c r="B39" t="s">
        <v>36</v>
      </c>
      <c r="C39" t="str">
        <f t="shared" si="0"/>
        <v>virginie villiere</v>
      </c>
      <c r="D39" t="s">
        <v>70</v>
      </c>
      <c r="E39" t="s">
        <v>67</v>
      </c>
      <c r="F39" t="s">
        <v>112</v>
      </c>
      <c r="G39" t="s">
        <v>68</v>
      </c>
      <c r="H39" t="s">
        <v>69</v>
      </c>
      <c r="I39" t="str">
        <f t="shared" si="1"/>
        <v>virginie.villiere@berger-levrault.com</v>
      </c>
      <c r="J39" t="s">
        <v>5</v>
      </c>
      <c r="K39" t="str">
        <f t="shared" si="2"/>
        <v>karine raepsaet</v>
      </c>
      <c r="L39" t="s">
        <v>105</v>
      </c>
      <c r="M39" t="s">
        <v>67</v>
      </c>
      <c r="N39" t="s">
        <v>106</v>
      </c>
      <c r="O39" t="s">
        <v>68</v>
      </c>
      <c r="P39" t="s">
        <v>69</v>
      </c>
      <c r="Q39" t="str">
        <f t="shared" si="3"/>
        <v>karine.raepsaet@berger-levrault.com</v>
      </c>
    </row>
    <row r="40" spans="1:17" x14ac:dyDescent="0.25">
      <c r="A40">
        <v>39</v>
      </c>
      <c r="B40" t="s">
        <v>36</v>
      </c>
      <c r="C40" t="str">
        <f t="shared" si="0"/>
        <v>virginie villiere</v>
      </c>
      <c r="D40" t="s">
        <v>70</v>
      </c>
      <c r="E40" t="s">
        <v>67</v>
      </c>
      <c r="F40" t="s">
        <v>112</v>
      </c>
      <c r="G40" t="s">
        <v>68</v>
      </c>
      <c r="H40" t="s">
        <v>69</v>
      </c>
      <c r="I40" t="str">
        <f t="shared" si="1"/>
        <v>virginie.villiere@berger-levrault.com</v>
      </c>
      <c r="J40" t="s">
        <v>5</v>
      </c>
      <c r="K40" t="str">
        <f t="shared" si="2"/>
        <v>karine raepsaet</v>
      </c>
      <c r="L40" t="s">
        <v>105</v>
      </c>
      <c r="M40" t="s">
        <v>67</v>
      </c>
      <c r="N40" t="s">
        <v>106</v>
      </c>
      <c r="O40" t="s">
        <v>68</v>
      </c>
      <c r="P40" t="s">
        <v>69</v>
      </c>
      <c r="Q40" t="str">
        <f t="shared" si="3"/>
        <v>karine.raepsaet@berger-levrault.com</v>
      </c>
    </row>
    <row r="41" spans="1:17" x14ac:dyDescent="0.25">
      <c r="A41">
        <v>40</v>
      </c>
      <c r="B41" t="s">
        <v>37</v>
      </c>
      <c r="C41" t="str">
        <f t="shared" si="0"/>
        <v>robinson sou</v>
      </c>
      <c r="D41" t="s">
        <v>113</v>
      </c>
      <c r="E41" t="s">
        <v>67</v>
      </c>
      <c r="F41" t="s">
        <v>114</v>
      </c>
      <c r="G41" t="s">
        <v>68</v>
      </c>
      <c r="H41" t="s">
        <v>69</v>
      </c>
      <c r="I41" t="str">
        <f t="shared" si="1"/>
        <v>robinson.sou@berger-levrault.com</v>
      </c>
      <c r="J41" t="s">
        <v>9</v>
      </c>
      <c r="K41" t="str">
        <f t="shared" si="2"/>
        <v>virginie bortolon</v>
      </c>
      <c r="L41" t="s">
        <v>70</v>
      </c>
      <c r="M41" t="s">
        <v>67</v>
      </c>
      <c r="N41" t="s">
        <v>108</v>
      </c>
      <c r="O41" t="s">
        <v>68</v>
      </c>
      <c r="P41" t="s">
        <v>69</v>
      </c>
      <c r="Q41" t="str">
        <f t="shared" si="3"/>
        <v>virginie.bortolon@berger-levrault.com</v>
      </c>
    </row>
    <row r="42" spans="1:17" x14ac:dyDescent="0.25">
      <c r="A42">
        <v>41</v>
      </c>
      <c r="B42" t="s">
        <v>37</v>
      </c>
      <c r="C42" t="str">
        <f t="shared" si="0"/>
        <v>robinson sou</v>
      </c>
      <c r="D42" t="s">
        <v>113</v>
      </c>
      <c r="E42" t="s">
        <v>67</v>
      </c>
      <c r="F42" t="s">
        <v>114</v>
      </c>
      <c r="G42" t="s">
        <v>68</v>
      </c>
      <c r="H42" t="s">
        <v>69</v>
      </c>
      <c r="I42" t="str">
        <f t="shared" si="1"/>
        <v>robinson.sou@berger-levrault.com</v>
      </c>
      <c r="J42" t="s">
        <v>15</v>
      </c>
      <c r="K42" t="str">
        <f t="shared" si="2"/>
        <v>virginie malgoire</v>
      </c>
      <c r="L42" t="s">
        <v>70</v>
      </c>
      <c r="M42" t="s">
        <v>67</v>
      </c>
      <c r="N42" t="s">
        <v>109</v>
      </c>
      <c r="O42" t="s">
        <v>68</v>
      </c>
      <c r="P42" t="s">
        <v>69</v>
      </c>
      <c r="Q42" t="str">
        <f t="shared" si="3"/>
        <v>virginie.malgoire@berger-levrault.com</v>
      </c>
    </row>
    <row r="43" spans="1:17" x14ac:dyDescent="0.25">
      <c r="A43">
        <v>42</v>
      </c>
      <c r="B43" t="s">
        <v>36</v>
      </c>
      <c r="C43" t="str">
        <f t="shared" si="0"/>
        <v>virginie villiere</v>
      </c>
      <c r="D43" t="s">
        <v>70</v>
      </c>
      <c r="E43" t="s">
        <v>67</v>
      </c>
      <c r="F43" t="s">
        <v>112</v>
      </c>
      <c r="G43" t="s">
        <v>68</v>
      </c>
      <c r="H43" t="s">
        <v>69</v>
      </c>
      <c r="I43" t="str">
        <f t="shared" si="1"/>
        <v>virginie.villiere@berger-levrault.com</v>
      </c>
      <c r="J43" t="s">
        <v>5</v>
      </c>
      <c r="K43" t="str">
        <f t="shared" si="2"/>
        <v>karine raepsaet</v>
      </c>
      <c r="L43" t="s">
        <v>105</v>
      </c>
      <c r="M43" t="s">
        <v>67</v>
      </c>
      <c r="N43" t="s">
        <v>106</v>
      </c>
      <c r="O43" t="s">
        <v>68</v>
      </c>
      <c r="P43" t="s">
        <v>69</v>
      </c>
      <c r="Q43" t="str">
        <f t="shared" si="3"/>
        <v>karine.raepsaet@berger-levrault.com</v>
      </c>
    </row>
    <row r="44" spans="1:17" x14ac:dyDescent="0.25">
      <c r="A44">
        <v>43</v>
      </c>
      <c r="B44" t="s">
        <v>36</v>
      </c>
      <c r="C44" t="str">
        <f t="shared" si="0"/>
        <v>virginie villiere</v>
      </c>
      <c r="D44" t="s">
        <v>70</v>
      </c>
      <c r="E44" t="s">
        <v>67</v>
      </c>
      <c r="F44" t="s">
        <v>112</v>
      </c>
      <c r="G44" t="s">
        <v>68</v>
      </c>
      <c r="H44" t="s">
        <v>69</v>
      </c>
      <c r="I44" t="str">
        <f t="shared" si="1"/>
        <v>virginie.villiere@berger-levrault.com</v>
      </c>
      <c r="J44" t="s">
        <v>9</v>
      </c>
      <c r="K44" t="str">
        <f t="shared" si="2"/>
        <v>virginie bortolon</v>
      </c>
      <c r="L44" t="s">
        <v>70</v>
      </c>
      <c r="M44" t="s">
        <v>67</v>
      </c>
      <c r="N44" t="s">
        <v>108</v>
      </c>
      <c r="O44" t="s">
        <v>68</v>
      </c>
      <c r="P44" t="s">
        <v>69</v>
      </c>
      <c r="Q44" t="str">
        <f t="shared" si="3"/>
        <v>virginie.bortolon@berger-levrault.com</v>
      </c>
    </row>
    <row r="45" spans="1:17" x14ac:dyDescent="0.25">
      <c r="A45">
        <v>44</v>
      </c>
      <c r="B45" t="s">
        <v>37</v>
      </c>
      <c r="C45" t="str">
        <f t="shared" si="0"/>
        <v>robinson sou</v>
      </c>
      <c r="D45" t="s">
        <v>113</v>
      </c>
      <c r="E45" t="s">
        <v>67</v>
      </c>
      <c r="F45" t="s">
        <v>114</v>
      </c>
      <c r="G45" t="s">
        <v>68</v>
      </c>
      <c r="H45" t="s">
        <v>69</v>
      </c>
      <c r="I45" t="str">
        <f t="shared" si="1"/>
        <v>robinson.sou@berger-levrault.com</v>
      </c>
      <c r="J45" t="s">
        <v>15</v>
      </c>
      <c r="K45" t="str">
        <f t="shared" si="2"/>
        <v>virginie malgoire</v>
      </c>
      <c r="L45" t="s">
        <v>70</v>
      </c>
      <c r="M45" t="s">
        <v>67</v>
      </c>
      <c r="N45" t="s">
        <v>109</v>
      </c>
      <c r="O45" t="s">
        <v>68</v>
      </c>
      <c r="P45" t="s">
        <v>69</v>
      </c>
      <c r="Q45" t="str">
        <f t="shared" si="3"/>
        <v>virginie.malgoire@berger-levrault.com</v>
      </c>
    </row>
    <row r="46" spans="1:17" x14ac:dyDescent="0.25">
      <c r="A46">
        <v>45</v>
      </c>
      <c r="B46" t="s">
        <v>37</v>
      </c>
      <c r="C46" t="str">
        <f t="shared" si="0"/>
        <v>robinson sou</v>
      </c>
      <c r="D46" t="s">
        <v>113</v>
      </c>
      <c r="E46" t="s">
        <v>67</v>
      </c>
      <c r="F46" t="s">
        <v>114</v>
      </c>
      <c r="G46" t="s">
        <v>68</v>
      </c>
      <c r="H46" t="s">
        <v>69</v>
      </c>
      <c r="I46" t="str">
        <f t="shared" si="1"/>
        <v>robinson.sou@berger-levrault.com</v>
      </c>
      <c r="J46" t="s">
        <v>15</v>
      </c>
      <c r="K46" t="str">
        <f t="shared" si="2"/>
        <v>virginie malgoire</v>
      </c>
      <c r="L46" t="s">
        <v>70</v>
      </c>
      <c r="M46" t="s">
        <v>67</v>
      </c>
      <c r="N46" t="s">
        <v>109</v>
      </c>
      <c r="O46" t="s">
        <v>68</v>
      </c>
      <c r="P46" t="s">
        <v>69</v>
      </c>
      <c r="Q46" t="str">
        <f t="shared" si="3"/>
        <v>virginie.malgoire@berger-levrault.com</v>
      </c>
    </row>
    <row r="47" spans="1:17" x14ac:dyDescent="0.25">
      <c r="A47">
        <v>46</v>
      </c>
      <c r="B47" t="s">
        <v>37</v>
      </c>
      <c r="C47" t="str">
        <f t="shared" si="0"/>
        <v>robinson sou</v>
      </c>
      <c r="D47" t="s">
        <v>113</v>
      </c>
      <c r="E47" t="s">
        <v>67</v>
      </c>
      <c r="F47" t="s">
        <v>114</v>
      </c>
      <c r="G47" t="s">
        <v>68</v>
      </c>
      <c r="H47" t="s">
        <v>69</v>
      </c>
      <c r="I47" t="str">
        <f t="shared" si="1"/>
        <v>robinson.sou@berger-levrault.com</v>
      </c>
      <c r="J47" t="s">
        <v>9</v>
      </c>
      <c r="K47" t="str">
        <f t="shared" si="2"/>
        <v>virginie bortolon</v>
      </c>
      <c r="L47" t="s">
        <v>70</v>
      </c>
      <c r="M47" t="s">
        <v>67</v>
      </c>
      <c r="N47" t="s">
        <v>108</v>
      </c>
      <c r="O47" t="s">
        <v>68</v>
      </c>
      <c r="P47" t="s">
        <v>69</v>
      </c>
      <c r="Q47" t="str">
        <f t="shared" si="3"/>
        <v>virginie.bortolon@berger-levrault.com</v>
      </c>
    </row>
    <row r="48" spans="1:17" x14ac:dyDescent="0.25">
      <c r="A48">
        <v>47</v>
      </c>
      <c r="B48" t="s">
        <v>37</v>
      </c>
      <c r="C48" t="str">
        <f t="shared" si="0"/>
        <v>robinson sou</v>
      </c>
      <c r="D48" t="s">
        <v>113</v>
      </c>
      <c r="E48" t="s">
        <v>67</v>
      </c>
      <c r="F48" t="s">
        <v>114</v>
      </c>
      <c r="G48" t="s">
        <v>68</v>
      </c>
      <c r="H48" t="s">
        <v>69</v>
      </c>
      <c r="I48" t="str">
        <f t="shared" si="1"/>
        <v>robinson.sou@berger-levrault.com</v>
      </c>
      <c r="J48" t="s">
        <v>9</v>
      </c>
      <c r="K48" t="str">
        <f t="shared" si="2"/>
        <v>virginie bortolon</v>
      </c>
      <c r="L48" t="s">
        <v>70</v>
      </c>
      <c r="M48" t="s">
        <v>67</v>
      </c>
      <c r="N48" t="s">
        <v>108</v>
      </c>
      <c r="O48" t="s">
        <v>68</v>
      </c>
      <c r="P48" t="s">
        <v>69</v>
      </c>
      <c r="Q48" t="str">
        <f t="shared" si="3"/>
        <v>virginie.bortolon@berger-levrault.com</v>
      </c>
    </row>
    <row r="49" spans="1:17" x14ac:dyDescent="0.25">
      <c r="A49">
        <v>48</v>
      </c>
      <c r="B49" t="s">
        <v>37</v>
      </c>
      <c r="C49" t="str">
        <f t="shared" si="0"/>
        <v>robinson sou</v>
      </c>
      <c r="D49" t="s">
        <v>113</v>
      </c>
      <c r="E49" t="s">
        <v>67</v>
      </c>
      <c r="F49" t="s">
        <v>114</v>
      </c>
      <c r="G49" t="s">
        <v>68</v>
      </c>
      <c r="H49" t="s">
        <v>69</v>
      </c>
      <c r="I49" t="str">
        <f t="shared" si="1"/>
        <v>robinson.sou@berger-levrault.com</v>
      </c>
      <c r="J49" t="s">
        <v>9</v>
      </c>
      <c r="K49" t="str">
        <f t="shared" si="2"/>
        <v>virginie bortolon</v>
      </c>
      <c r="L49" t="s">
        <v>70</v>
      </c>
      <c r="M49" t="s">
        <v>67</v>
      </c>
      <c r="N49" t="s">
        <v>108</v>
      </c>
      <c r="O49" t="s">
        <v>68</v>
      </c>
      <c r="P49" t="s">
        <v>69</v>
      </c>
      <c r="Q49" t="str">
        <f t="shared" si="3"/>
        <v>virginie.bortolon@berger-levrault.com</v>
      </c>
    </row>
    <row r="50" spans="1:17" x14ac:dyDescent="0.25">
      <c r="A50">
        <v>49</v>
      </c>
      <c r="B50" t="s">
        <v>37</v>
      </c>
      <c r="C50" t="str">
        <f t="shared" si="0"/>
        <v>robinson sou</v>
      </c>
      <c r="D50" t="s">
        <v>113</v>
      </c>
      <c r="E50" t="s">
        <v>67</v>
      </c>
      <c r="F50" t="s">
        <v>114</v>
      </c>
      <c r="G50" t="s">
        <v>68</v>
      </c>
      <c r="H50" t="s">
        <v>69</v>
      </c>
      <c r="I50" t="str">
        <f t="shared" si="1"/>
        <v>robinson.sou@berger-levrault.com</v>
      </c>
      <c r="J50" t="s">
        <v>15</v>
      </c>
      <c r="K50" t="str">
        <f t="shared" si="2"/>
        <v>virginie malgoire</v>
      </c>
      <c r="L50" t="s">
        <v>70</v>
      </c>
      <c r="M50" t="s">
        <v>67</v>
      </c>
      <c r="N50" t="s">
        <v>109</v>
      </c>
      <c r="O50" t="s">
        <v>68</v>
      </c>
      <c r="P50" t="s">
        <v>69</v>
      </c>
      <c r="Q50" t="str">
        <f t="shared" si="3"/>
        <v>virginie.malgoire@berger-levrault.com</v>
      </c>
    </row>
    <row r="51" spans="1:17" x14ac:dyDescent="0.25">
      <c r="A51">
        <v>50</v>
      </c>
      <c r="B51" t="s">
        <v>37</v>
      </c>
      <c r="C51" t="str">
        <f t="shared" si="0"/>
        <v>robinson sou</v>
      </c>
      <c r="D51" t="s">
        <v>113</v>
      </c>
      <c r="E51" t="s">
        <v>67</v>
      </c>
      <c r="F51" t="s">
        <v>114</v>
      </c>
      <c r="G51" t="s">
        <v>68</v>
      </c>
      <c r="H51" t="s">
        <v>69</v>
      </c>
      <c r="I51" t="str">
        <f t="shared" si="1"/>
        <v>robinson.sou@berger-levrault.com</v>
      </c>
      <c r="J51" t="s">
        <v>15</v>
      </c>
      <c r="K51" t="str">
        <f t="shared" si="2"/>
        <v>virginie malgoire</v>
      </c>
      <c r="L51" t="s">
        <v>70</v>
      </c>
      <c r="M51" t="s">
        <v>67</v>
      </c>
      <c r="N51" t="s">
        <v>109</v>
      </c>
      <c r="O51" t="s">
        <v>68</v>
      </c>
      <c r="P51" t="s">
        <v>69</v>
      </c>
      <c r="Q51" t="str">
        <f t="shared" si="3"/>
        <v>virginie.malgoire@berger-levrault.com</v>
      </c>
    </row>
    <row r="52" spans="1:17" x14ac:dyDescent="0.25">
      <c r="A52">
        <v>51</v>
      </c>
      <c r="B52" t="s">
        <v>36</v>
      </c>
      <c r="C52" t="str">
        <f t="shared" si="0"/>
        <v>virginie villiere</v>
      </c>
      <c r="D52" t="s">
        <v>70</v>
      </c>
      <c r="E52" t="s">
        <v>67</v>
      </c>
      <c r="F52" t="s">
        <v>112</v>
      </c>
      <c r="G52" t="s">
        <v>68</v>
      </c>
      <c r="H52" t="s">
        <v>69</v>
      </c>
      <c r="I52" t="str">
        <f t="shared" si="1"/>
        <v>virginie.villiere@berger-levrault.com</v>
      </c>
      <c r="J52" t="s">
        <v>7</v>
      </c>
      <c r="K52" t="str">
        <f t="shared" si="2"/>
        <v>marie-laure tressol gracia</v>
      </c>
      <c r="L52" t="s">
        <v>107</v>
      </c>
      <c r="M52" t="s">
        <v>67</v>
      </c>
      <c r="N52" t="s">
        <v>111</v>
      </c>
      <c r="O52" t="s">
        <v>68</v>
      </c>
      <c r="P52" t="s">
        <v>69</v>
      </c>
      <c r="Q52" t="str">
        <f t="shared" si="3"/>
        <v>marie-laure.tressolgracia@berger-levrault.com</v>
      </c>
    </row>
    <row r="53" spans="1:17" x14ac:dyDescent="0.25">
      <c r="A53">
        <v>52</v>
      </c>
      <c r="B53" t="s">
        <v>36</v>
      </c>
      <c r="C53" t="str">
        <f t="shared" si="0"/>
        <v>virginie villiere</v>
      </c>
      <c r="D53" t="s">
        <v>70</v>
      </c>
      <c r="E53" t="s">
        <v>67</v>
      </c>
      <c r="F53" t="s">
        <v>112</v>
      </c>
      <c r="G53" t="s">
        <v>68</v>
      </c>
      <c r="H53" t="s">
        <v>69</v>
      </c>
      <c r="I53" t="str">
        <f t="shared" si="1"/>
        <v>virginie.villiere@berger-levrault.com</v>
      </c>
      <c r="J53" t="s">
        <v>9</v>
      </c>
      <c r="K53" t="str">
        <f t="shared" si="2"/>
        <v>virginie bortolon</v>
      </c>
      <c r="L53" t="s">
        <v>70</v>
      </c>
      <c r="M53" t="s">
        <v>67</v>
      </c>
      <c r="N53" t="s">
        <v>108</v>
      </c>
      <c r="O53" t="s">
        <v>68</v>
      </c>
      <c r="P53" t="s">
        <v>69</v>
      </c>
      <c r="Q53" t="str">
        <f t="shared" si="3"/>
        <v>virginie.bortolon@berger-levrault.com</v>
      </c>
    </row>
    <row r="54" spans="1:17" x14ac:dyDescent="0.25">
      <c r="A54">
        <v>53</v>
      </c>
      <c r="B54" t="s">
        <v>37</v>
      </c>
      <c r="C54" t="str">
        <f t="shared" si="0"/>
        <v>robinson sou</v>
      </c>
      <c r="D54" t="s">
        <v>113</v>
      </c>
      <c r="E54" t="s">
        <v>67</v>
      </c>
      <c r="F54" t="s">
        <v>114</v>
      </c>
      <c r="G54" t="s">
        <v>68</v>
      </c>
      <c r="H54" t="s">
        <v>69</v>
      </c>
      <c r="I54" t="str">
        <f t="shared" si="1"/>
        <v>robinson.sou@berger-levrault.com</v>
      </c>
      <c r="J54" t="s">
        <v>15</v>
      </c>
      <c r="K54" t="str">
        <f t="shared" si="2"/>
        <v>virginie malgoire</v>
      </c>
      <c r="L54" t="s">
        <v>70</v>
      </c>
      <c r="M54" t="s">
        <v>67</v>
      </c>
      <c r="N54" t="s">
        <v>109</v>
      </c>
      <c r="O54" t="s">
        <v>68</v>
      </c>
      <c r="P54" t="s">
        <v>69</v>
      </c>
      <c r="Q54" t="str">
        <f t="shared" si="3"/>
        <v>virginie.malgoire@berger-levrault.com</v>
      </c>
    </row>
    <row r="55" spans="1:17" x14ac:dyDescent="0.25">
      <c r="A55">
        <v>54</v>
      </c>
      <c r="B55" t="s">
        <v>36</v>
      </c>
      <c r="C55" t="str">
        <f t="shared" si="0"/>
        <v>virginie villiere</v>
      </c>
      <c r="D55" t="s">
        <v>70</v>
      </c>
      <c r="E55" t="s">
        <v>67</v>
      </c>
      <c r="F55" t="s">
        <v>112</v>
      </c>
      <c r="G55" t="s">
        <v>68</v>
      </c>
      <c r="H55" t="s">
        <v>69</v>
      </c>
      <c r="I55" t="str">
        <f t="shared" si="1"/>
        <v>virginie.villiere@berger-levrault.com</v>
      </c>
      <c r="J55" t="s">
        <v>7</v>
      </c>
      <c r="K55" t="str">
        <f t="shared" si="2"/>
        <v>marie-laure tressol gracia</v>
      </c>
      <c r="L55" t="s">
        <v>107</v>
      </c>
      <c r="M55" t="s">
        <v>67</v>
      </c>
      <c r="N55" t="s">
        <v>111</v>
      </c>
      <c r="O55" t="s">
        <v>68</v>
      </c>
      <c r="P55" t="s">
        <v>69</v>
      </c>
      <c r="Q55" t="str">
        <f t="shared" si="3"/>
        <v>marie-laure.tressolgracia@berger-levrault.com</v>
      </c>
    </row>
    <row r="56" spans="1:17" x14ac:dyDescent="0.25">
      <c r="A56">
        <v>55</v>
      </c>
      <c r="B56" t="s">
        <v>36</v>
      </c>
      <c r="C56" t="str">
        <f t="shared" si="0"/>
        <v>virginie villiere</v>
      </c>
      <c r="D56" t="s">
        <v>70</v>
      </c>
      <c r="E56" t="s">
        <v>67</v>
      </c>
      <c r="F56" t="s">
        <v>112</v>
      </c>
      <c r="G56" t="s">
        <v>68</v>
      </c>
      <c r="H56" t="s">
        <v>69</v>
      </c>
      <c r="I56" t="str">
        <f t="shared" si="1"/>
        <v>virginie.villiere@berger-levrault.com</v>
      </c>
      <c r="J56" t="s">
        <v>7</v>
      </c>
      <c r="K56" t="str">
        <f t="shared" si="2"/>
        <v>marie-laure tressol gracia</v>
      </c>
      <c r="L56" t="s">
        <v>107</v>
      </c>
      <c r="M56" t="s">
        <v>67</v>
      </c>
      <c r="N56" t="s">
        <v>111</v>
      </c>
      <c r="O56" t="s">
        <v>68</v>
      </c>
      <c r="P56" t="s">
        <v>69</v>
      </c>
      <c r="Q56" t="str">
        <f t="shared" si="3"/>
        <v>marie-laure.tressolgracia@berger-levrault.com</v>
      </c>
    </row>
    <row r="57" spans="1:17" x14ac:dyDescent="0.25">
      <c r="A57">
        <v>56</v>
      </c>
      <c r="B57" t="s">
        <v>37</v>
      </c>
      <c r="C57" t="str">
        <f t="shared" si="0"/>
        <v>robinson sou</v>
      </c>
      <c r="D57" t="s">
        <v>113</v>
      </c>
      <c r="E57" t="s">
        <v>67</v>
      </c>
      <c r="F57" t="s">
        <v>114</v>
      </c>
      <c r="G57" t="s">
        <v>68</v>
      </c>
      <c r="H57" t="s">
        <v>69</v>
      </c>
      <c r="I57" t="str">
        <f t="shared" si="1"/>
        <v>robinson.sou@berger-levrault.com</v>
      </c>
      <c r="J57" t="s">
        <v>15</v>
      </c>
      <c r="K57" t="str">
        <f t="shared" si="2"/>
        <v>virginie malgoire</v>
      </c>
      <c r="L57" t="s">
        <v>70</v>
      </c>
      <c r="M57" t="s">
        <v>67</v>
      </c>
      <c r="N57" t="s">
        <v>109</v>
      </c>
      <c r="O57" t="s">
        <v>68</v>
      </c>
      <c r="P57" t="s">
        <v>69</v>
      </c>
      <c r="Q57" t="str">
        <f t="shared" si="3"/>
        <v>virginie.malgoire@berger-levrault.com</v>
      </c>
    </row>
    <row r="58" spans="1:17" x14ac:dyDescent="0.25">
      <c r="A58">
        <v>57</v>
      </c>
      <c r="B58" t="s">
        <v>36</v>
      </c>
      <c r="C58" t="str">
        <f t="shared" si="0"/>
        <v>virginie villiere</v>
      </c>
      <c r="D58" t="s">
        <v>70</v>
      </c>
      <c r="E58" t="s">
        <v>67</v>
      </c>
      <c r="F58" t="s">
        <v>112</v>
      </c>
      <c r="G58" t="s">
        <v>68</v>
      </c>
      <c r="H58" t="s">
        <v>69</v>
      </c>
      <c r="I58" t="str">
        <f t="shared" si="1"/>
        <v>virginie.villiere@berger-levrault.com</v>
      </c>
      <c r="J58" t="s">
        <v>7</v>
      </c>
      <c r="K58" t="str">
        <f t="shared" si="2"/>
        <v>marie-laure tressol gracia</v>
      </c>
      <c r="L58" t="s">
        <v>107</v>
      </c>
      <c r="M58" t="s">
        <v>67</v>
      </c>
      <c r="N58" t="s">
        <v>111</v>
      </c>
      <c r="O58" t="s">
        <v>68</v>
      </c>
      <c r="P58" t="s">
        <v>69</v>
      </c>
      <c r="Q58" t="str">
        <f t="shared" si="3"/>
        <v>marie-laure.tressolgracia@berger-levrault.com</v>
      </c>
    </row>
    <row r="59" spans="1:17" x14ac:dyDescent="0.25">
      <c r="A59">
        <v>58</v>
      </c>
      <c r="B59" t="s">
        <v>36</v>
      </c>
      <c r="C59" t="str">
        <f t="shared" si="0"/>
        <v>virginie villiere</v>
      </c>
      <c r="D59" t="s">
        <v>70</v>
      </c>
      <c r="E59" t="s">
        <v>67</v>
      </c>
      <c r="F59" t="s">
        <v>112</v>
      </c>
      <c r="G59" t="s">
        <v>68</v>
      </c>
      <c r="H59" t="s">
        <v>69</v>
      </c>
      <c r="I59" t="str">
        <f t="shared" si="1"/>
        <v>virginie.villiere@berger-levrault.com</v>
      </c>
      <c r="J59" t="s">
        <v>9</v>
      </c>
      <c r="K59" t="str">
        <f t="shared" si="2"/>
        <v>virginie bortolon</v>
      </c>
      <c r="L59" t="s">
        <v>70</v>
      </c>
      <c r="M59" t="s">
        <v>67</v>
      </c>
      <c r="N59" t="s">
        <v>108</v>
      </c>
      <c r="O59" t="s">
        <v>68</v>
      </c>
      <c r="P59" t="s">
        <v>69</v>
      </c>
      <c r="Q59" t="str">
        <f t="shared" si="3"/>
        <v>virginie.bortolon@berger-levrault.com</v>
      </c>
    </row>
    <row r="60" spans="1:17" x14ac:dyDescent="0.25">
      <c r="A60">
        <v>59</v>
      </c>
      <c r="B60" t="s">
        <v>36</v>
      </c>
      <c r="C60" t="str">
        <f t="shared" si="0"/>
        <v>virginie villiere</v>
      </c>
      <c r="D60" t="s">
        <v>70</v>
      </c>
      <c r="E60" t="s">
        <v>67</v>
      </c>
      <c r="F60" t="s">
        <v>112</v>
      </c>
      <c r="G60" t="s">
        <v>68</v>
      </c>
      <c r="H60" t="s">
        <v>69</v>
      </c>
      <c r="I60" t="str">
        <f t="shared" si="1"/>
        <v>virginie.villiere@berger-levrault.com</v>
      </c>
      <c r="J60" t="s">
        <v>7</v>
      </c>
      <c r="K60" t="str">
        <f t="shared" si="2"/>
        <v>marie-laure tressol gracia</v>
      </c>
      <c r="L60" t="s">
        <v>107</v>
      </c>
      <c r="M60" t="s">
        <v>67</v>
      </c>
      <c r="N60" t="s">
        <v>111</v>
      </c>
      <c r="O60" t="s">
        <v>68</v>
      </c>
      <c r="P60" t="s">
        <v>69</v>
      </c>
      <c r="Q60" t="str">
        <f t="shared" si="3"/>
        <v>marie-laure.tressolgracia@berger-levrault.com</v>
      </c>
    </row>
    <row r="61" spans="1:17" x14ac:dyDescent="0.25">
      <c r="A61">
        <v>60</v>
      </c>
      <c r="B61" t="s">
        <v>36</v>
      </c>
      <c r="C61" t="str">
        <f t="shared" si="0"/>
        <v>virginie villiere</v>
      </c>
      <c r="D61" t="s">
        <v>70</v>
      </c>
      <c r="E61" t="s">
        <v>67</v>
      </c>
      <c r="F61" t="s">
        <v>112</v>
      </c>
      <c r="G61" t="s">
        <v>68</v>
      </c>
      <c r="H61" t="s">
        <v>69</v>
      </c>
      <c r="I61" t="str">
        <f t="shared" si="1"/>
        <v>virginie.villiere@berger-levrault.com</v>
      </c>
      <c r="J61" t="s">
        <v>7</v>
      </c>
      <c r="K61" t="str">
        <f t="shared" si="2"/>
        <v>marie-laure tressol gracia</v>
      </c>
      <c r="L61" t="s">
        <v>107</v>
      </c>
      <c r="M61" t="s">
        <v>67</v>
      </c>
      <c r="N61" t="s">
        <v>111</v>
      </c>
      <c r="O61" t="s">
        <v>68</v>
      </c>
      <c r="P61" t="s">
        <v>69</v>
      </c>
      <c r="Q61" t="str">
        <f t="shared" si="3"/>
        <v>marie-laure.tressolgracia@berger-levrault.com</v>
      </c>
    </row>
    <row r="62" spans="1:17" x14ac:dyDescent="0.25">
      <c r="A62">
        <v>61</v>
      </c>
      <c r="B62" t="s">
        <v>37</v>
      </c>
      <c r="C62" t="str">
        <f t="shared" si="0"/>
        <v>robinson sou</v>
      </c>
      <c r="D62" t="s">
        <v>113</v>
      </c>
      <c r="E62" t="s">
        <v>67</v>
      </c>
      <c r="F62" t="s">
        <v>114</v>
      </c>
      <c r="G62" t="s">
        <v>68</v>
      </c>
      <c r="H62" t="s">
        <v>69</v>
      </c>
      <c r="I62" t="str">
        <f t="shared" si="1"/>
        <v>robinson.sou@berger-levrault.com</v>
      </c>
      <c r="J62" t="s">
        <v>15</v>
      </c>
      <c r="K62" t="str">
        <f t="shared" si="2"/>
        <v>virginie malgoire</v>
      </c>
      <c r="L62" t="s">
        <v>70</v>
      </c>
      <c r="M62" t="s">
        <v>67</v>
      </c>
      <c r="N62" t="s">
        <v>109</v>
      </c>
      <c r="O62" t="s">
        <v>68</v>
      </c>
      <c r="P62" t="s">
        <v>69</v>
      </c>
      <c r="Q62" t="str">
        <f t="shared" si="3"/>
        <v>virginie.malgoire@berger-levrault.com</v>
      </c>
    </row>
    <row r="63" spans="1:17" x14ac:dyDescent="0.25">
      <c r="A63">
        <v>62</v>
      </c>
      <c r="B63" t="s">
        <v>36</v>
      </c>
      <c r="C63" t="str">
        <f t="shared" si="0"/>
        <v>virginie villiere</v>
      </c>
      <c r="D63" t="s">
        <v>70</v>
      </c>
      <c r="E63" t="s">
        <v>67</v>
      </c>
      <c r="F63" t="s">
        <v>112</v>
      </c>
      <c r="G63" t="s">
        <v>68</v>
      </c>
      <c r="H63" t="s">
        <v>69</v>
      </c>
      <c r="I63" t="str">
        <f t="shared" si="1"/>
        <v>virginie.villiere@berger-levrault.com</v>
      </c>
      <c r="J63" t="s">
        <v>7</v>
      </c>
      <c r="K63" t="str">
        <f t="shared" si="2"/>
        <v>marie-laure tressol gracia</v>
      </c>
      <c r="L63" t="s">
        <v>107</v>
      </c>
      <c r="M63" t="s">
        <v>67</v>
      </c>
      <c r="N63" t="s">
        <v>111</v>
      </c>
      <c r="O63" t="s">
        <v>68</v>
      </c>
      <c r="P63" t="s">
        <v>69</v>
      </c>
      <c r="Q63" t="str">
        <f t="shared" si="3"/>
        <v>marie-laure.tressolgracia@berger-levrault.com</v>
      </c>
    </row>
    <row r="64" spans="1:17" x14ac:dyDescent="0.25">
      <c r="A64">
        <v>63</v>
      </c>
      <c r="B64" t="s">
        <v>36</v>
      </c>
      <c r="C64" t="str">
        <f t="shared" si="0"/>
        <v>virginie villiere</v>
      </c>
      <c r="D64" t="s">
        <v>70</v>
      </c>
      <c r="E64" t="s">
        <v>67</v>
      </c>
      <c r="F64" t="s">
        <v>112</v>
      </c>
      <c r="G64" t="s">
        <v>68</v>
      </c>
      <c r="H64" t="s">
        <v>69</v>
      </c>
      <c r="I64" t="str">
        <f t="shared" si="1"/>
        <v>virginie.villiere@berger-levrault.com</v>
      </c>
      <c r="J64" t="s">
        <v>9</v>
      </c>
      <c r="K64" t="str">
        <f t="shared" si="2"/>
        <v>virginie bortolon</v>
      </c>
      <c r="L64" t="s">
        <v>70</v>
      </c>
      <c r="M64" t="s">
        <v>67</v>
      </c>
      <c r="N64" t="s">
        <v>108</v>
      </c>
      <c r="O64" t="s">
        <v>68</v>
      </c>
      <c r="P64" t="s">
        <v>69</v>
      </c>
      <c r="Q64" t="str">
        <f t="shared" si="3"/>
        <v>virginie.bortolon@berger-levrault.com</v>
      </c>
    </row>
    <row r="65" spans="1:17" x14ac:dyDescent="0.25">
      <c r="A65">
        <v>64</v>
      </c>
      <c r="B65" t="s">
        <v>37</v>
      </c>
      <c r="C65" t="str">
        <f t="shared" si="0"/>
        <v>robinson sou</v>
      </c>
      <c r="D65" t="s">
        <v>113</v>
      </c>
      <c r="E65" t="s">
        <v>67</v>
      </c>
      <c r="F65" t="s">
        <v>114</v>
      </c>
      <c r="G65" t="s">
        <v>68</v>
      </c>
      <c r="H65" t="s">
        <v>69</v>
      </c>
      <c r="I65" t="str">
        <f t="shared" si="1"/>
        <v>robinson.sou@berger-levrault.com</v>
      </c>
      <c r="J65" t="s">
        <v>9</v>
      </c>
      <c r="K65" t="str">
        <f t="shared" si="2"/>
        <v>virginie bortolon</v>
      </c>
      <c r="L65" t="s">
        <v>70</v>
      </c>
      <c r="M65" t="s">
        <v>67</v>
      </c>
      <c r="N65" t="s">
        <v>108</v>
      </c>
      <c r="O65" t="s">
        <v>68</v>
      </c>
      <c r="P65" t="s">
        <v>69</v>
      </c>
      <c r="Q65" t="str">
        <f t="shared" si="3"/>
        <v>virginie.bortolon@berger-levrault.com</v>
      </c>
    </row>
    <row r="66" spans="1:17" x14ac:dyDescent="0.25">
      <c r="A66">
        <v>65</v>
      </c>
      <c r="B66" t="s">
        <v>37</v>
      </c>
      <c r="C66" t="str">
        <f t="shared" si="0"/>
        <v>robinson sou</v>
      </c>
      <c r="D66" t="s">
        <v>113</v>
      </c>
      <c r="E66" t="s">
        <v>67</v>
      </c>
      <c r="F66" t="s">
        <v>114</v>
      </c>
      <c r="G66" t="s">
        <v>68</v>
      </c>
      <c r="H66" t="s">
        <v>69</v>
      </c>
      <c r="I66" t="str">
        <f t="shared" si="1"/>
        <v>robinson.sou@berger-levrault.com</v>
      </c>
      <c r="J66" t="s">
        <v>9</v>
      </c>
      <c r="K66" t="str">
        <f t="shared" si="2"/>
        <v>virginie bortolon</v>
      </c>
      <c r="L66" t="s">
        <v>70</v>
      </c>
      <c r="M66" t="s">
        <v>67</v>
      </c>
      <c r="N66" t="s">
        <v>108</v>
      </c>
      <c r="O66" t="s">
        <v>68</v>
      </c>
      <c r="P66" t="s">
        <v>69</v>
      </c>
      <c r="Q66" t="str">
        <f t="shared" si="3"/>
        <v>virginie.bortolon@berger-levrault.com</v>
      </c>
    </row>
    <row r="67" spans="1:17" x14ac:dyDescent="0.25">
      <c r="A67">
        <v>66</v>
      </c>
      <c r="B67" t="s">
        <v>37</v>
      </c>
      <c r="C67" t="str">
        <f t="shared" ref="C67:C100" si="4">LOWER(B67)</f>
        <v>robinson sou</v>
      </c>
      <c r="D67" t="s">
        <v>113</v>
      </c>
      <c r="E67" t="s">
        <v>67</v>
      </c>
      <c r="F67" t="s">
        <v>114</v>
      </c>
      <c r="G67" t="s">
        <v>68</v>
      </c>
      <c r="H67" t="s">
        <v>69</v>
      </c>
      <c r="I67" t="str">
        <f t="shared" ref="I67:I100" si="5">CONCATENATE(D67,E67,F67,G67,H67)</f>
        <v>robinson.sou@berger-levrault.com</v>
      </c>
      <c r="J67" t="s">
        <v>9</v>
      </c>
      <c r="K67" t="str">
        <f t="shared" ref="K67:K100" si="6">LOWER(J67)</f>
        <v>virginie bortolon</v>
      </c>
      <c r="L67" t="s">
        <v>70</v>
      </c>
      <c r="M67" t="s">
        <v>67</v>
      </c>
      <c r="N67" t="s">
        <v>108</v>
      </c>
      <c r="O67" t="s">
        <v>68</v>
      </c>
      <c r="P67" t="s">
        <v>69</v>
      </c>
      <c r="Q67" t="str">
        <f t="shared" ref="Q67:Q100" si="7">CONCATENATE(L67,M67,N67,O67,P67)</f>
        <v>virginie.bortolon@berger-levrault.com</v>
      </c>
    </row>
    <row r="68" spans="1:17" x14ac:dyDescent="0.25">
      <c r="A68">
        <v>67</v>
      </c>
      <c r="B68" t="s">
        <v>36</v>
      </c>
      <c r="C68" t="str">
        <f t="shared" si="4"/>
        <v>virginie villiere</v>
      </c>
      <c r="D68" t="s">
        <v>70</v>
      </c>
      <c r="E68" t="s">
        <v>67</v>
      </c>
      <c r="F68" t="s">
        <v>112</v>
      </c>
      <c r="G68" t="s">
        <v>68</v>
      </c>
      <c r="H68" t="s">
        <v>69</v>
      </c>
      <c r="I68" t="str">
        <f t="shared" si="5"/>
        <v>virginie.villiere@berger-levrault.com</v>
      </c>
      <c r="J68" t="s">
        <v>7</v>
      </c>
      <c r="K68" t="str">
        <f t="shared" si="6"/>
        <v>marie-laure tressol gracia</v>
      </c>
      <c r="L68" t="s">
        <v>107</v>
      </c>
      <c r="M68" t="s">
        <v>67</v>
      </c>
      <c r="N68" t="s">
        <v>111</v>
      </c>
      <c r="O68" t="s">
        <v>68</v>
      </c>
      <c r="P68" t="s">
        <v>69</v>
      </c>
      <c r="Q68" t="str">
        <f t="shared" si="7"/>
        <v>marie-laure.tressolgracia@berger-levrault.com</v>
      </c>
    </row>
    <row r="69" spans="1:17" x14ac:dyDescent="0.25">
      <c r="A69">
        <v>68</v>
      </c>
      <c r="B69" t="s">
        <v>36</v>
      </c>
      <c r="C69" t="str">
        <f t="shared" si="4"/>
        <v>virginie villiere</v>
      </c>
      <c r="D69" t="s">
        <v>70</v>
      </c>
      <c r="E69" t="s">
        <v>67</v>
      </c>
      <c r="F69" t="s">
        <v>112</v>
      </c>
      <c r="G69" t="s">
        <v>68</v>
      </c>
      <c r="H69" t="s">
        <v>69</v>
      </c>
      <c r="I69" t="str">
        <f t="shared" si="5"/>
        <v>virginie.villiere@berger-levrault.com</v>
      </c>
      <c r="J69" t="s">
        <v>7</v>
      </c>
      <c r="K69" t="str">
        <f t="shared" si="6"/>
        <v>marie-laure tressol gracia</v>
      </c>
      <c r="L69" t="s">
        <v>107</v>
      </c>
      <c r="M69" t="s">
        <v>67</v>
      </c>
      <c r="N69" t="s">
        <v>111</v>
      </c>
      <c r="O69" t="s">
        <v>68</v>
      </c>
      <c r="P69" t="s">
        <v>69</v>
      </c>
      <c r="Q69" t="str">
        <f t="shared" si="7"/>
        <v>marie-laure.tressolgracia@berger-levrault.com</v>
      </c>
    </row>
    <row r="70" spans="1:17" x14ac:dyDescent="0.25">
      <c r="A70">
        <v>69</v>
      </c>
      <c r="B70" t="s">
        <v>36</v>
      </c>
      <c r="C70" t="str">
        <f t="shared" si="4"/>
        <v>virginie villiere</v>
      </c>
      <c r="D70" t="s">
        <v>70</v>
      </c>
      <c r="E70" t="s">
        <v>67</v>
      </c>
      <c r="F70" t="s">
        <v>112</v>
      </c>
      <c r="G70" t="s">
        <v>68</v>
      </c>
      <c r="H70" t="s">
        <v>69</v>
      </c>
      <c r="I70" t="str">
        <f t="shared" si="5"/>
        <v>virginie.villiere@berger-levrault.com</v>
      </c>
      <c r="J70" t="s">
        <v>5</v>
      </c>
      <c r="K70" t="str">
        <f t="shared" si="6"/>
        <v>karine raepsaet</v>
      </c>
      <c r="L70" t="s">
        <v>105</v>
      </c>
      <c r="M70" t="s">
        <v>67</v>
      </c>
      <c r="N70" t="s">
        <v>106</v>
      </c>
      <c r="O70" t="s">
        <v>68</v>
      </c>
      <c r="P70" t="s">
        <v>69</v>
      </c>
      <c r="Q70" t="str">
        <f t="shared" si="7"/>
        <v>karine.raepsaet@berger-levrault.com</v>
      </c>
    </row>
    <row r="71" spans="1:17" x14ac:dyDescent="0.25">
      <c r="A71">
        <v>70</v>
      </c>
      <c r="B71" t="s">
        <v>36</v>
      </c>
      <c r="C71" t="str">
        <f t="shared" si="4"/>
        <v>virginie villiere</v>
      </c>
      <c r="D71" t="s">
        <v>70</v>
      </c>
      <c r="E71" t="s">
        <v>67</v>
      </c>
      <c r="F71" t="s">
        <v>112</v>
      </c>
      <c r="G71" t="s">
        <v>68</v>
      </c>
      <c r="H71" t="s">
        <v>69</v>
      </c>
      <c r="I71" t="str">
        <f t="shared" si="5"/>
        <v>virginie.villiere@berger-levrault.com</v>
      </c>
      <c r="J71" t="s">
        <v>5</v>
      </c>
      <c r="K71" t="str">
        <f t="shared" si="6"/>
        <v>karine raepsaet</v>
      </c>
      <c r="L71" t="s">
        <v>105</v>
      </c>
      <c r="M71" t="s">
        <v>67</v>
      </c>
      <c r="N71" t="s">
        <v>106</v>
      </c>
      <c r="O71" t="s">
        <v>68</v>
      </c>
      <c r="P71" t="s">
        <v>69</v>
      </c>
      <c r="Q71" t="str">
        <f t="shared" si="7"/>
        <v>karine.raepsaet@berger-levrault.com</v>
      </c>
    </row>
    <row r="72" spans="1:17" x14ac:dyDescent="0.25">
      <c r="A72">
        <v>71</v>
      </c>
      <c r="B72" t="s">
        <v>36</v>
      </c>
      <c r="C72" t="str">
        <f t="shared" si="4"/>
        <v>virginie villiere</v>
      </c>
      <c r="D72" t="s">
        <v>70</v>
      </c>
      <c r="E72" t="s">
        <v>67</v>
      </c>
      <c r="F72" t="s">
        <v>112</v>
      </c>
      <c r="G72" t="s">
        <v>68</v>
      </c>
      <c r="H72" t="s">
        <v>69</v>
      </c>
      <c r="I72" t="str">
        <f t="shared" si="5"/>
        <v>virginie.villiere@berger-levrault.com</v>
      </c>
      <c r="J72" t="s">
        <v>5</v>
      </c>
      <c r="K72" t="str">
        <f t="shared" si="6"/>
        <v>karine raepsaet</v>
      </c>
      <c r="L72" t="s">
        <v>105</v>
      </c>
      <c r="M72" t="s">
        <v>67</v>
      </c>
      <c r="N72" t="s">
        <v>106</v>
      </c>
      <c r="O72" t="s">
        <v>68</v>
      </c>
      <c r="P72" t="s">
        <v>69</v>
      </c>
      <c r="Q72" t="str">
        <f t="shared" si="7"/>
        <v>karine.raepsaet@berger-levrault.com</v>
      </c>
    </row>
    <row r="73" spans="1:17" x14ac:dyDescent="0.25">
      <c r="A73">
        <v>72</v>
      </c>
      <c r="B73" t="s">
        <v>37</v>
      </c>
      <c r="C73" t="str">
        <f t="shared" si="4"/>
        <v>robinson sou</v>
      </c>
      <c r="D73" t="s">
        <v>113</v>
      </c>
      <c r="E73" t="s">
        <v>67</v>
      </c>
      <c r="F73" t="s">
        <v>114</v>
      </c>
      <c r="G73" t="s">
        <v>68</v>
      </c>
      <c r="H73" t="s">
        <v>69</v>
      </c>
      <c r="I73" t="str">
        <f t="shared" si="5"/>
        <v>robinson.sou@berger-levrault.com</v>
      </c>
      <c r="J73" t="s">
        <v>15</v>
      </c>
      <c r="K73" t="str">
        <f t="shared" si="6"/>
        <v>virginie malgoire</v>
      </c>
      <c r="L73" t="s">
        <v>70</v>
      </c>
      <c r="M73" t="s">
        <v>67</v>
      </c>
      <c r="N73" t="s">
        <v>109</v>
      </c>
      <c r="O73" t="s">
        <v>68</v>
      </c>
      <c r="P73" t="s">
        <v>69</v>
      </c>
      <c r="Q73" t="str">
        <f t="shared" si="7"/>
        <v>virginie.malgoire@berger-levrault.com</v>
      </c>
    </row>
    <row r="74" spans="1:17" x14ac:dyDescent="0.25">
      <c r="A74">
        <v>73</v>
      </c>
      <c r="B74" t="s">
        <v>36</v>
      </c>
      <c r="C74" t="str">
        <f t="shared" si="4"/>
        <v>virginie villiere</v>
      </c>
      <c r="D74" t="s">
        <v>70</v>
      </c>
      <c r="E74" t="s">
        <v>67</v>
      </c>
      <c r="F74" t="s">
        <v>112</v>
      </c>
      <c r="G74" t="s">
        <v>68</v>
      </c>
      <c r="H74" t="s">
        <v>69</v>
      </c>
      <c r="I74" t="str">
        <f t="shared" si="5"/>
        <v>virginie.villiere@berger-levrault.com</v>
      </c>
      <c r="J74" t="s">
        <v>5</v>
      </c>
      <c r="K74" t="str">
        <f t="shared" si="6"/>
        <v>karine raepsaet</v>
      </c>
      <c r="L74" t="s">
        <v>105</v>
      </c>
      <c r="M74" t="s">
        <v>67</v>
      </c>
      <c r="N74" t="s">
        <v>106</v>
      </c>
      <c r="O74" t="s">
        <v>68</v>
      </c>
      <c r="P74" t="s">
        <v>69</v>
      </c>
      <c r="Q74" t="str">
        <f t="shared" si="7"/>
        <v>karine.raepsaet@berger-levrault.com</v>
      </c>
    </row>
    <row r="75" spans="1:17" x14ac:dyDescent="0.25">
      <c r="A75">
        <v>74</v>
      </c>
      <c r="B75" t="s">
        <v>36</v>
      </c>
      <c r="C75" t="str">
        <f t="shared" si="4"/>
        <v>virginie villiere</v>
      </c>
      <c r="D75" t="s">
        <v>70</v>
      </c>
      <c r="E75" t="s">
        <v>67</v>
      </c>
      <c r="F75" t="s">
        <v>112</v>
      </c>
      <c r="G75" t="s">
        <v>68</v>
      </c>
      <c r="H75" t="s">
        <v>69</v>
      </c>
      <c r="I75" t="str">
        <f t="shared" si="5"/>
        <v>virginie.villiere@berger-levrault.com</v>
      </c>
      <c r="J75" t="s">
        <v>5</v>
      </c>
      <c r="K75" t="str">
        <f t="shared" si="6"/>
        <v>karine raepsaet</v>
      </c>
      <c r="L75" t="s">
        <v>105</v>
      </c>
      <c r="M75" t="s">
        <v>67</v>
      </c>
      <c r="N75" t="s">
        <v>106</v>
      </c>
      <c r="O75" t="s">
        <v>68</v>
      </c>
      <c r="P75" t="s">
        <v>69</v>
      </c>
      <c r="Q75" t="str">
        <f t="shared" si="7"/>
        <v>karine.raepsaet@berger-levrault.com</v>
      </c>
    </row>
    <row r="76" spans="1:17" x14ac:dyDescent="0.25">
      <c r="A76">
        <v>75</v>
      </c>
      <c r="B76" t="s">
        <v>37</v>
      </c>
      <c r="C76" t="str">
        <f t="shared" si="4"/>
        <v>robinson sou</v>
      </c>
      <c r="D76" t="s">
        <v>113</v>
      </c>
      <c r="E76" t="s">
        <v>67</v>
      </c>
      <c r="F76" t="s">
        <v>114</v>
      </c>
      <c r="G76" t="s">
        <v>68</v>
      </c>
      <c r="H76" t="s">
        <v>69</v>
      </c>
      <c r="I76" t="str">
        <f t="shared" si="5"/>
        <v>robinson.sou@berger-levrault.com</v>
      </c>
      <c r="J76" t="s">
        <v>7</v>
      </c>
      <c r="K76" t="str">
        <f t="shared" si="6"/>
        <v>marie-laure tressol gracia</v>
      </c>
      <c r="L76" t="s">
        <v>107</v>
      </c>
      <c r="M76" t="s">
        <v>67</v>
      </c>
      <c r="N76" t="s">
        <v>111</v>
      </c>
      <c r="O76" t="s">
        <v>68</v>
      </c>
      <c r="P76" t="s">
        <v>69</v>
      </c>
      <c r="Q76" t="str">
        <f t="shared" si="7"/>
        <v>marie-laure.tressolgracia@berger-levrault.com</v>
      </c>
    </row>
    <row r="77" spans="1:17" x14ac:dyDescent="0.25">
      <c r="A77">
        <v>76</v>
      </c>
      <c r="B77" t="s">
        <v>37</v>
      </c>
      <c r="C77" t="str">
        <f t="shared" si="4"/>
        <v>robinson sou</v>
      </c>
      <c r="D77" t="s">
        <v>113</v>
      </c>
      <c r="E77" t="s">
        <v>67</v>
      </c>
      <c r="F77" t="s">
        <v>114</v>
      </c>
      <c r="G77" t="s">
        <v>68</v>
      </c>
      <c r="H77" t="s">
        <v>69</v>
      </c>
      <c r="I77" t="str">
        <f t="shared" si="5"/>
        <v>robinson.sou@berger-levrault.com</v>
      </c>
      <c r="J77" t="s">
        <v>15</v>
      </c>
      <c r="K77" t="str">
        <f t="shared" si="6"/>
        <v>virginie malgoire</v>
      </c>
      <c r="L77" t="s">
        <v>70</v>
      </c>
      <c r="M77" t="s">
        <v>67</v>
      </c>
      <c r="N77" t="s">
        <v>109</v>
      </c>
      <c r="O77" t="s">
        <v>68</v>
      </c>
      <c r="P77" t="s">
        <v>69</v>
      </c>
      <c r="Q77" t="str">
        <f t="shared" si="7"/>
        <v>virginie.malgoire@berger-levrault.com</v>
      </c>
    </row>
    <row r="78" spans="1:17" x14ac:dyDescent="0.25">
      <c r="A78">
        <v>77</v>
      </c>
      <c r="B78" t="s">
        <v>37</v>
      </c>
      <c r="C78" t="str">
        <f t="shared" si="4"/>
        <v>robinson sou</v>
      </c>
      <c r="D78" t="s">
        <v>113</v>
      </c>
      <c r="E78" t="s">
        <v>67</v>
      </c>
      <c r="F78" t="s">
        <v>114</v>
      </c>
      <c r="G78" t="s">
        <v>68</v>
      </c>
      <c r="H78" t="s">
        <v>69</v>
      </c>
      <c r="I78" t="str">
        <f t="shared" si="5"/>
        <v>robinson.sou@berger-levrault.com</v>
      </c>
      <c r="J78" t="s">
        <v>7</v>
      </c>
      <c r="K78" t="str">
        <f t="shared" si="6"/>
        <v>marie-laure tressol gracia</v>
      </c>
      <c r="L78" t="s">
        <v>107</v>
      </c>
      <c r="M78" t="s">
        <v>67</v>
      </c>
      <c r="N78" t="s">
        <v>111</v>
      </c>
      <c r="O78" t="s">
        <v>68</v>
      </c>
      <c r="P78" t="s">
        <v>69</v>
      </c>
      <c r="Q78" t="str">
        <f t="shared" si="7"/>
        <v>marie-laure.tressolgracia@berger-levrault.com</v>
      </c>
    </row>
    <row r="79" spans="1:17" x14ac:dyDescent="0.25">
      <c r="A79">
        <v>78</v>
      </c>
      <c r="B79" t="s">
        <v>37</v>
      </c>
      <c r="C79" t="str">
        <f t="shared" si="4"/>
        <v>robinson sou</v>
      </c>
      <c r="D79" t="s">
        <v>113</v>
      </c>
      <c r="E79" t="s">
        <v>67</v>
      </c>
      <c r="F79" t="s">
        <v>114</v>
      </c>
      <c r="G79" t="s">
        <v>68</v>
      </c>
      <c r="H79" t="s">
        <v>69</v>
      </c>
      <c r="I79" t="str">
        <f t="shared" si="5"/>
        <v>robinson.sou@berger-levrault.com</v>
      </c>
      <c r="J79" t="s">
        <v>7</v>
      </c>
      <c r="K79" t="str">
        <f t="shared" si="6"/>
        <v>marie-laure tressol gracia</v>
      </c>
      <c r="L79" t="s">
        <v>107</v>
      </c>
      <c r="M79" t="s">
        <v>67</v>
      </c>
      <c r="N79" t="s">
        <v>111</v>
      </c>
      <c r="O79" t="s">
        <v>68</v>
      </c>
      <c r="P79" t="s">
        <v>69</v>
      </c>
      <c r="Q79" t="str">
        <f t="shared" si="7"/>
        <v>marie-laure.tressolgracia@berger-levrault.com</v>
      </c>
    </row>
    <row r="80" spans="1:17" x14ac:dyDescent="0.25">
      <c r="A80">
        <v>79</v>
      </c>
      <c r="B80" t="s">
        <v>37</v>
      </c>
      <c r="C80" t="str">
        <f t="shared" si="4"/>
        <v>robinson sou</v>
      </c>
      <c r="D80" t="s">
        <v>113</v>
      </c>
      <c r="E80" t="s">
        <v>67</v>
      </c>
      <c r="F80" t="s">
        <v>114</v>
      </c>
      <c r="G80" t="s">
        <v>68</v>
      </c>
      <c r="H80" t="s">
        <v>69</v>
      </c>
      <c r="I80" t="str">
        <f t="shared" si="5"/>
        <v>robinson.sou@berger-levrault.com</v>
      </c>
      <c r="J80" t="s">
        <v>15</v>
      </c>
      <c r="K80" t="str">
        <f t="shared" si="6"/>
        <v>virginie malgoire</v>
      </c>
      <c r="L80" t="s">
        <v>70</v>
      </c>
      <c r="M80" t="s">
        <v>67</v>
      </c>
      <c r="N80" t="s">
        <v>109</v>
      </c>
      <c r="O80" t="s">
        <v>68</v>
      </c>
      <c r="P80" t="s">
        <v>69</v>
      </c>
      <c r="Q80" t="str">
        <f t="shared" si="7"/>
        <v>virginie.malgoire@berger-levrault.com</v>
      </c>
    </row>
    <row r="81" spans="1:17" x14ac:dyDescent="0.25">
      <c r="A81">
        <v>80</v>
      </c>
      <c r="B81" t="s">
        <v>36</v>
      </c>
      <c r="C81" t="str">
        <f t="shared" si="4"/>
        <v>virginie villiere</v>
      </c>
      <c r="D81" t="s">
        <v>70</v>
      </c>
      <c r="E81" t="s">
        <v>67</v>
      </c>
      <c r="F81" t="s">
        <v>112</v>
      </c>
      <c r="G81" t="s">
        <v>68</v>
      </c>
      <c r="H81" t="s">
        <v>69</v>
      </c>
      <c r="I81" t="str">
        <f t="shared" si="5"/>
        <v>virginie.villiere@berger-levrault.com</v>
      </c>
      <c r="J81" t="s">
        <v>7</v>
      </c>
      <c r="K81" t="str">
        <f t="shared" si="6"/>
        <v>marie-laure tressol gracia</v>
      </c>
      <c r="L81" t="s">
        <v>107</v>
      </c>
      <c r="M81" t="s">
        <v>67</v>
      </c>
      <c r="N81" t="s">
        <v>111</v>
      </c>
      <c r="O81" t="s">
        <v>68</v>
      </c>
      <c r="P81" t="s">
        <v>69</v>
      </c>
      <c r="Q81" t="str">
        <f t="shared" si="7"/>
        <v>marie-laure.tressolgracia@berger-levrault.com</v>
      </c>
    </row>
    <row r="82" spans="1:17" x14ac:dyDescent="0.25">
      <c r="A82">
        <v>81</v>
      </c>
      <c r="B82" t="s">
        <v>37</v>
      </c>
      <c r="C82" t="str">
        <f t="shared" si="4"/>
        <v>robinson sou</v>
      </c>
      <c r="D82" t="s">
        <v>113</v>
      </c>
      <c r="E82" t="s">
        <v>67</v>
      </c>
      <c r="F82" t="s">
        <v>114</v>
      </c>
      <c r="G82" t="s">
        <v>68</v>
      </c>
      <c r="H82" t="s">
        <v>69</v>
      </c>
      <c r="I82" t="str">
        <f t="shared" si="5"/>
        <v>robinson.sou@berger-levrault.com</v>
      </c>
      <c r="J82" t="s">
        <v>9</v>
      </c>
      <c r="K82" t="str">
        <f t="shared" si="6"/>
        <v>virginie bortolon</v>
      </c>
      <c r="L82" t="s">
        <v>70</v>
      </c>
      <c r="M82" t="s">
        <v>67</v>
      </c>
      <c r="N82" t="s">
        <v>108</v>
      </c>
      <c r="O82" t="s">
        <v>68</v>
      </c>
      <c r="P82" t="s">
        <v>69</v>
      </c>
      <c r="Q82" t="str">
        <f t="shared" si="7"/>
        <v>virginie.bortolon@berger-levrault.com</v>
      </c>
    </row>
    <row r="83" spans="1:17" x14ac:dyDescent="0.25">
      <c r="A83">
        <v>82</v>
      </c>
      <c r="B83" t="s">
        <v>37</v>
      </c>
      <c r="C83" t="str">
        <f t="shared" si="4"/>
        <v>robinson sou</v>
      </c>
      <c r="D83" t="s">
        <v>113</v>
      </c>
      <c r="E83" t="s">
        <v>67</v>
      </c>
      <c r="F83" t="s">
        <v>114</v>
      </c>
      <c r="G83" t="s">
        <v>68</v>
      </c>
      <c r="H83" t="s">
        <v>69</v>
      </c>
      <c r="I83" t="str">
        <f t="shared" si="5"/>
        <v>robinson.sou@berger-levrault.com</v>
      </c>
      <c r="J83" t="s">
        <v>9</v>
      </c>
      <c r="K83" t="str">
        <f t="shared" si="6"/>
        <v>virginie bortolon</v>
      </c>
      <c r="L83" t="s">
        <v>70</v>
      </c>
      <c r="M83" t="s">
        <v>67</v>
      </c>
      <c r="N83" t="s">
        <v>108</v>
      </c>
      <c r="O83" t="s">
        <v>68</v>
      </c>
      <c r="P83" t="s">
        <v>69</v>
      </c>
      <c r="Q83" t="str">
        <f t="shared" si="7"/>
        <v>virginie.bortolon@berger-levrault.com</v>
      </c>
    </row>
    <row r="84" spans="1:17" x14ac:dyDescent="0.25">
      <c r="A84">
        <v>83</v>
      </c>
      <c r="B84" t="s">
        <v>36</v>
      </c>
      <c r="C84" t="str">
        <f t="shared" si="4"/>
        <v>virginie villiere</v>
      </c>
      <c r="D84" t="s">
        <v>70</v>
      </c>
      <c r="E84" t="s">
        <v>67</v>
      </c>
      <c r="F84" t="s">
        <v>112</v>
      </c>
      <c r="G84" t="s">
        <v>68</v>
      </c>
      <c r="H84" t="s">
        <v>69</v>
      </c>
      <c r="I84" t="str">
        <f t="shared" si="5"/>
        <v>virginie.villiere@berger-levrault.com</v>
      </c>
      <c r="J84" t="s">
        <v>5</v>
      </c>
      <c r="K84" t="str">
        <f t="shared" si="6"/>
        <v>karine raepsaet</v>
      </c>
      <c r="L84" t="s">
        <v>105</v>
      </c>
      <c r="M84" t="s">
        <v>67</v>
      </c>
      <c r="N84" t="s">
        <v>106</v>
      </c>
      <c r="O84" t="s">
        <v>68</v>
      </c>
      <c r="P84" t="s">
        <v>69</v>
      </c>
      <c r="Q84" t="str">
        <f t="shared" si="7"/>
        <v>karine.raepsaet@berger-levrault.com</v>
      </c>
    </row>
    <row r="85" spans="1:17" x14ac:dyDescent="0.25">
      <c r="A85">
        <v>84</v>
      </c>
      <c r="B85" t="s">
        <v>36</v>
      </c>
      <c r="C85" t="str">
        <f t="shared" si="4"/>
        <v>virginie villiere</v>
      </c>
      <c r="D85" t="s">
        <v>70</v>
      </c>
      <c r="E85" t="s">
        <v>67</v>
      </c>
      <c r="F85" t="s">
        <v>112</v>
      </c>
      <c r="G85" t="s">
        <v>68</v>
      </c>
      <c r="H85" t="s">
        <v>69</v>
      </c>
      <c r="I85" t="str">
        <f t="shared" si="5"/>
        <v>virginie.villiere@berger-levrault.com</v>
      </c>
      <c r="J85" t="s">
        <v>5</v>
      </c>
      <c r="K85" t="str">
        <f t="shared" si="6"/>
        <v>karine raepsaet</v>
      </c>
      <c r="L85" t="s">
        <v>105</v>
      </c>
      <c r="M85" t="s">
        <v>67</v>
      </c>
      <c r="N85" t="s">
        <v>106</v>
      </c>
      <c r="O85" t="s">
        <v>68</v>
      </c>
      <c r="P85" t="s">
        <v>69</v>
      </c>
      <c r="Q85" t="str">
        <f t="shared" si="7"/>
        <v>karine.raepsaet@berger-levrault.com</v>
      </c>
    </row>
    <row r="86" spans="1:17" x14ac:dyDescent="0.25">
      <c r="A86">
        <v>85</v>
      </c>
      <c r="B86" t="s">
        <v>37</v>
      </c>
      <c r="C86" t="str">
        <f t="shared" si="4"/>
        <v>robinson sou</v>
      </c>
      <c r="D86" t="s">
        <v>113</v>
      </c>
      <c r="E86" t="s">
        <v>67</v>
      </c>
      <c r="F86" t="s">
        <v>114</v>
      </c>
      <c r="G86" t="s">
        <v>68</v>
      </c>
      <c r="H86" t="s">
        <v>69</v>
      </c>
      <c r="I86" t="str">
        <f t="shared" si="5"/>
        <v>robinson.sou@berger-levrault.com</v>
      </c>
      <c r="J86" t="s">
        <v>15</v>
      </c>
      <c r="K86" t="str">
        <f t="shared" si="6"/>
        <v>virginie malgoire</v>
      </c>
      <c r="L86" t="s">
        <v>70</v>
      </c>
      <c r="M86" t="s">
        <v>67</v>
      </c>
      <c r="N86" t="s">
        <v>109</v>
      </c>
      <c r="O86" t="s">
        <v>68</v>
      </c>
      <c r="P86" t="s">
        <v>69</v>
      </c>
      <c r="Q86" t="str">
        <f t="shared" si="7"/>
        <v>virginie.malgoire@berger-levrault.com</v>
      </c>
    </row>
    <row r="87" spans="1:17" x14ac:dyDescent="0.25">
      <c r="A87">
        <v>86</v>
      </c>
      <c r="B87" t="s">
        <v>37</v>
      </c>
      <c r="C87" t="str">
        <f t="shared" si="4"/>
        <v>robinson sou</v>
      </c>
      <c r="D87" t="s">
        <v>113</v>
      </c>
      <c r="E87" t="s">
        <v>67</v>
      </c>
      <c r="F87" t="s">
        <v>114</v>
      </c>
      <c r="G87" t="s">
        <v>68</v>
      </c>
      <c r="H87" t="s">
        <v>69</v>
      </c>
      <c r="I87" t="str">
        <f t="shared" si="5"/>
        <v>robinson.sou@berger-levrault.com</v>
      </c>
      <c r="J87" t="s">
        <v>15</v>
      </c>
      <c r="K87" t="str">
        <f t="shared" si="6"/>
        <v>virginie malgoire</v>
      </c>
      <c r="L87" t="s">
        <v>70</v>
      </c>
      <c r="M87" t="s">
        <v>67</v>
      </c>
      <c r="N87" t="s">
        <v>109</v>
      </c>
      <c r="O87" t="s">
        <v>68</v>
      </c>
      <c r="P87" t="s">
        <v>69</v>
      </c>
      <c r="Q87" t="str">
        <f t="shared" si="7"/>
        <v>virginie.malgoire@berger-levrault.com</v>
      </c>
    </row>
    <row r="88" spans="1:17" x14ac:dyDescent="0.25">
      <c r="A88">
        <v>87</v>
      </c>
      <c r="B88" t="s">
        <v>37</v>
      </c>
      <c r="C88" t="str">
        <f t="shared" si="4"/>
        <v>robinson sou</v>
      </c>
      <c r="D88" t="s">
        <v>113</v>
      </c>
      <c r="E88" t="s">
        <v>67</v>
      </c>
      <c r="F88" t="s">
        <v>114</v>
      </c>
      <c r="G88" t="s">
        <v>68</v>
      </c>
      <c r="H88" t="s">
        <v>69</v>
      </c>
      <c r="I88" t="str">
        <f t="shared" si="5"/>
        <v>robinson.sou@berger-levrault.com</v>
      </c>
      <c r="J88" t="s">
        <v>9</v>
      </c>
      <c r="K88" t="str">
        <f t="shared" si="6"/>
        <v>virginie bortolon</v>
      </c>
      <c r="L88" t="s">
        <v>70</v>
      </c>
      <c r="M88" t="s">
        <v>67</v>
      </c>
      <c r="N88" t="s">
        <v>108</v>
      </c>
      <c r="O88" t="s">
        <v>68</v>
      </c>
      <c r="P88" t="s">
        <v>69</v>
      </c>
      <c r="Q88" t="str">
        <f t="shared" si="7"/>
        <v>virginie.bortolon@berger-levrault.com</v>
      </c>
    </row>
    <row r="89" spans="1:17" x14ac:dyDescent="0.25">
      <c r="A89">
        <v>88</v>
      </c>
      <c r="B89" t="s">
        <v>36</v>
      </c>
      <c r="C89" t="str">
        <f t="shared" si="4"/>
        <v>virginie villiere</v>
      </c>
      <c r="D89" t="s">
        <v>70</v>
      </c>
      <c r="E89" t="s">
        <v>67</v>
      </c>
      <c r="F89" t="s">
        <v>112</v>
      </c>
      <c r="G89" t="s">
        <v>68</v>
      </c>
      <c r="H89" t="s">
        <v>69</v>
      </c>
      <c r="I89" t="str">
        <f t="shared" si="5"/>
        <v>virginie.villiere@berger-levrault.com</v>
      </c>
      <c r="J89" t="s">
        <v>7</v>
      </c>
      <c r="K89" t="str">
        <f t="shared" si="6"/>
        <v>marie-laure tressol gracia</v>
      </c>
      <c r="L89" t="s">
        <v>107</v>
      </c>
      <c r="M89" t="s">
        <v>67</v>
      </c>
      <c r="N89" t="s">
        <v>111</v>
      </c>
      <c r="O89" t="s">
        <v>68</v>
      </c>
      <c r="P89" t="s">
        <v>69</v>
      </c>
      <c r="Q89" t="str">
        <f t="shared" si="7"/>
        <v>marie-laure.tressolgracia@berger-levrault.com</v>
      </c>
    </row>
    <row r="90" spans="1:17" x14ac:dyDescent="0.25">
      <c r="A90">
        <v>89</v>
      </c>
      <c r="B90" t="s">
        <v>36</v>
      </c>
      <c r="C90" t="str">
        <f t="shared" si="4"/>
        <v>virginie villiere</v>
      </c>
      <c r="D90" t="s">
        <v>70</v>
      </c>
      <c r="E90" t="s">
        <v>67</v>
      </c>
      <c r="F90" t="s">
        <v>112</v>
      </c>
      <c r="G90" t="s">
        <v>68</v>
      </c>
      <c r="H90" t="s">
        <v>69</v>
      </c>
      <c r="I90" t="str">
        <f t="shared" si="5"/>
        <v>virginie.villiere@berger-levrault.com</v>
      </c>
      <c r="J90" t="s">
        <v>9</v>
      </c>
      <c r="K90" t="str">
        <f t="shared" si="6"/>
        <v>virginie bortolon</v>
      </c>
      <c r="L90" t="s">
        <v>70</v>
      </c>
      <c r="M90" t="s">
        <v>67</v>
      </c>
      <c r="N90" t="s">
        <v>108</v>
      </c>
      <c r="O90" t="s">
        <v>68</v>
      </c>
      <c r="P90" t="s">
        <v>69</v>
      </c>
      <c r="Q90" t="str">
        <f t="shared" si="7"/>
        <v>virginie.bortolon@berger-levrault.com</v>
      </c>
    </row>
    <row r="91" spans="1:17" x14ac:dyDescent="0.25">
      <c r="A91">
        <v>90</v>
      </c>
      <c r="B91" t="s">
        <v>36</v>
      </c>
      <c r="C91" t="str">
        <f t="shared" si="4"/>
        <v>virginie villiere</v>
      </c>
      <c r="D91" t="s">
        <v>70</v>
      </c>
      <c r="E91" t="s">
        <v>67</v>
      </c>
      <c r="F91" t="s">
        <v>112</v>
      </c>
      <c r="G91" t="s">
        <v>68</v>
      </c>
      <c r="H91" t="s">
        <v>69</v>
      </c>
      <c r="I91" t="str">
        <f t="shared" si="5"/>
        <v>virginie.villiere@berger-levrault.com</v>
      </c>
      <c r="J91" t="s">
        <v>5</v>
      </c>
      <c r="K91" t="str">
        <f t="shared" si="6"/>
        <v>karine raepsaet</v>
      </c>
      <c r="L91" t="s">
        <v>105</v>
      </c>
      <c r="M91" t="s">
        <v>67</v>
      </c>
      <c r="N91" t="s">
        <v>106</v>
      </c>
      <c r="O91" t="s">
        <v>68</v>
      </c>
      <c r="P91" t="s">
        <v>69</v>
      </c>
      <c r="Q91" t="str">
        <f t="shared" si="7"/>
        <v>karine.raepsaet@berger-levrault.com</v>
      </c>
    </row>
    <row r="92" spans="1:17" x14ac:dyDescent="0.25">
      <c r="A92">
        <v>91</v>
      </c>
      <c r="B92" t="s">
        <v>37</v>
      </c>
      <c r="C92" t="str">
        <f t="shared" si="4"/>
        <v>robinson sou</v>
      </c>
      <c r="D92" t="s">
        <v>113</v>
      </c>
      <c r="E92" t="s">
        <v>67</v>
      </c>
      <c r="F92" t="s">
        <v>114</v>
      </c>
      <c r="G92" t="s">
        <v>68</v>
      </c>
      <c r="H92" t="s">
        <v>69</v>
      </c>
      <c r="I92" t="str">
        <f t="shared" si="5"/>
        <v>robinson.sou@berger-levrault.com</v>
      </c>
      <c r="J92" t="s">
        <v>7</v>
      </c>
      <c r="K92" t="str">
        <f t="shared" si="6"/>
        <v>marie-laure tressol gracia</v>
      </c>
      <c r="L92" t="s">
        <v>107</v>
      </c>
      <c r="M92" t="s">
        <v>67</v>
      </c>
      <c r="N92" t="s">
        <v>111</v>
      </c>
      <c r="O92" t="s">
        <v>68</v>
      </c>
      <c r="P92" t="s">
        <v>69</v>
      </c>
      <c r="Q92" t="str">
        <f t="shared" si="7"/>
        <v>marie-laure.tressolgracia@berger-levrault.com</v>
      </c>
    </row>
    <row r="93" spans="1:17" x14ac:dyDescent="0.25">
      <c r="A93">
        <v>92</v>
      </c>
      <c r="B93" t="s">
        <v>37</v>
      </c>
      <c r="C93" t="str">
        <f t="shared" si="4"/>
        <v>robinson sou</v>
      </c>
      <c r="D93" t="s">
        <v>113</v>
      </c>
      <c r="E93" t="s">
        <v>67</v>
      </c>
      <c r="F93" t="s">
        <v>114</v>
      </c>
      <c r="G93" t="s">
        <v>68</v>
      </c>
      <c r="H93" t="s">
        <v>69</v>
      </c>
      <c r="I93" t="str">
        <f t="shared" si="5"/>
        <v>robinson.sou@berger-levrault.com</v>
      </c>
      <c r="J93" t="s">
        <v>7</v>
      </c>
      <c r="K93" t="str">
        <f t="shared" si="6"/>
        <v>marie-laure tressol gracia</v>
      </c>
      <c r="L93" t="s">
        <v>107</v>
      </c>
      <c r="M93" t="s">
        <v>67</v>
      </c>
      <c r="N93" t="s">
        <v>111</v>
      </c>
      <c r="O93" t="s">
        <v>68</v>
      </c>
      <c r="P93" t="s">
        <v>69</v>
      </c>
      <c r="Q93" t="str">
        <f t="shared" si="7"/>
        <v>marie-laure.tressolgracia@berger-levrault.com</v>
      </c>
    </row>
    <row r="94" spans="1:17" x14ac:dyDescent="0.25">
      <c r="A94">
        <v>93</v>
      </c>
      <c r="B94" t="s">
        <v>37</v>
      </c>
      <c r="C94" t="str">
        <f t="shared" si="4"/>
        <v>robinson sou</v>
      </c>
      <c r="D94" t="s">
        <v>113</v>
      </c>
      <c r="E94" t="s">
        <v>67</v>
      </c>
      <c r="F94" t="s">
        <v>114</v>
      </c>
      <c r="G94" t="s">
        <v>68</v>
      </c>
      <c r="H94" t="s">
        <v>69</v>
      </c>
      <c r="I94" t="str">
        <f t="shared" si="5"/>
        <v>robinson.sou@berger-levrault.com</v>
      </c>
      <c r="J94" t="s">
        <v>7</v>
      </c>
      <c r="K94" t="str">
        <f t="shared" si="6"/>
        <v>marie-laure tressol gracia</v>
      </c>
      <c r="L94" t="s">
        <v>107</v>
      </c>
      <c r="M94" t="s">
        <v>67</v>
      </c>
      <c r="N94" t="s">
        <v>111</v>
      </c>
      <c r="O94" t="s">
        <v>68</v>
      </c>
      <c r="P94" t="s">
        <v>69</v>
      </c>
      <c r="Q94" t="str">
        <f t="shared" si="7"/>
        <v>marie-laure.tressolgracia@berger-levrault.com</v>
      </c>
    </row>
    <row r="95" spans="1:17" x14ac:dyDescent="0.25">
      <c r="A95">
        <v>94</v>
      </c>
      <c r="B95" t="s">
        <v>37</v>
      </c>
      <c r="C95" t="str">
        <f t="shared" si="4"/>
        <v>robinson sou</v>
      </c>
      <c r="D95" t="s">
        <v>113</v>
      </c>
      <c r="E95" t="s">
        <v>67</v>
      </c>
      <c r="F95" t="s">
        <v>114</v>
      </c>
      <c r="G95" t="s">
        <v>68</v>
      </c>
      <c r="H95" t="s">
        <v>69</v>
      </c>
      <c r="I95" t="str">
        <f t="shared" si="5"/>
        <v>robinson.sou@berger-levrault.com</v>
      </c>
      <c r="J95" t="s">
        <v>7</v>
      </c>
      <c r="K95" t="str">
        <f t="shared" si="6"/>
        <v>marie-laure tressol gracia</v>
      </c>
      <c r="L95" t="s">
        <v>107</v>
      </c>
      <c r="M95" t="s">
        <v>67</v>
      </c>
      <c r="N95" t="s">
        <v>111</v>
      </c>
      <c r="O95" t="s">
        <v>68</v>
      </c>
      <c r="P95" t="s">
        <v>69</v>
      </c>
      <c r="Q95" t="str">
        <f t="shared" si="7"/>
        <v>marie-laure.tressolgracia@berger-levrault.com</v>
      </c>
    </row>
    <row r="96" spans="1:17" x14ac:dyDescent="0.25">
      <c r="A96">
        <v>95</v>
      </c>
      <c r="B96" t="s">
        <v>37</v>
      </c>
      <c r="C96" t="str">
        <f t="shared" si="4"/>
        <v>robinson sou</v>
      </c>
      <c r="D96" t="s">
        <v>113</v>
      </c>
      <c r="E96" t="s">
        <v>67</v>
      </c>
      <c r="F96" t="s">
        <v>114</v>
      </c>
      <c r="G96" t="s">
        <v>68</v>
      </c>
      <c r="H96" t="s">
        <v>69</v>
      </c>
      <c r="I96" t="str">
        <f t="shared" si="5"/>
        <v>robinson.sou@berger-levrault.com</v>
      </c>
      <c r="J96" t="s">
        <v>7</v>
      </c>
      <c r="K96" t="str">
        <f t="shared" si="6"/>
        <v>marie-laure tressol gracia</v>
      </c>
      <c r="L96" t="s">
        <v>107</v>
      </c>
      <c r="M96" t="s">
        <v>67</v>
      </c>
      <c r="N96" t="s">
        <v>111</v>
      </c>
      <c r="O96" t="s">
        <v>68</v>
      </c>
      <c r="P96" t="s">
        <v>69</v>
      </c>
      <c r="Q96" t="str">
        <f t="shared" si="7"/>
        <v>marie-laure.tressolgracia@berger-levrault.com</v>
      </c>
    </row>
    <row r="97" spans="1:17" x14ac:dyDescent="0.25">
      <c r="A97">
        <v>98</v>
      </c>
      <c r="B97" t="s">
        <v>36</v>
      </c>
      <c r="C97" t="str">
        <f t="shared" si="4"/>
        <v>virginie villiere</v>
      </c>
      <c r="D97" t="s">
        <v>70</v>
      </c>
      <c r="E97" t="s">
        <v>67</v>
      </c>
      <c r="F97" t="s">
        <v>112</v>
      </c>
      <c r="G97" t="s">
        <v>68</v>
      </c>
      <c r="H97" t="s">
        <v>69</v>
      </c>
      <c r="I97" t="str">
        <f t="shared" si="5"/>
        <v>virginie.villiere@berger-levrault.com</v>
      </c>
      <c r="J97" t="s">
        <v>5</v>
      </c>
      <c r="K97" t="str">
        <f t="shared" si="6"/>
        <v>karine raepsaet</v>
      </c>
      <c r="L97" t="s">
        <v>105</v>
      </c>
      <c r="M97" t="s">
        <v>67</v>
      </c>
      <c r="N97" t="s">
        <v>106</v>
      </c>
      <c r="O97" t="s">
        <v>68</v>
      </c>
      <c r="P97" t="s">
        <v>69</v>
      </c>
      <c r="Q97" t="str">
        <f t="shared" si="7"/>
        <v>karine.raepsaet@berger-levrault.com</v>
      </c>
    </row>
    <row r="98" spans="1:17" x14ac:dyDescent="0.25">
      <c r="A98">
        <v>980</v>
      </c>
      <c r="B98" t="s">
        <v>36</v>
      </c>
      <c r="C98" t="str">
        <f t="shared" si="4"/>
        <v>virginie villiere</v>
      </c>
      <c r="D98" t="s">
        <v>70</v>
      </c>
      <c r="E98" t="s">
        <v>67</v>
      </c>
      <c r="F98" t="s">
        <v>112</v>
      </c>
      <c r="G98" t="s">
        <v>68</v>
      </c>
      <c r="H98" t="s">
        <v>69</v>
      </c>
      <c r="I98" t="str">
        <f t="shared" si="5"/>
        <v>virginie.villiere@berger-levrault.com</v>
      </c>
      <c r="J98" t="s">
        <v>5</v>
      </c>
      <c r="K98" t="str">
        <f t="shared" si="6"/>
        <v>karine raepsaet</v>
      </c>
      <c r="L98" t="s">
        <v>105</v>
      </c>
      <c r="M98" t="s">
        <v>67</v>
      </c>
      <c r="N98" t="s">
        <v>106</v>
      </c>
      <c r="O98" t="s">
        <v>68</v>
      </c>
      <c r="P98" t="s">
        <v>69</v>
      </c>
      <c r="Q98" t="str">
        <f t="shared" si="7"/>
        <v>karine.raepsaet@berger-levrault.com</v>
      </c>
    </row>
    <row r="99" spans="1:17" x14ac:dyDescent="0.25">
      <c r="A99" t="s">
        <v>1</v>
      </c>
      <c r="B99" t="s">
        <v>36</v>
      </c>
      <c r="C99" t="str">
        <f t="shared" si="4"/>
        <v>virginie villiere</v>
      </c>
      <c r="D99" t="s">
        <v>70</v>
      </c>
      <c r="E99" t="s">
        <v>67</v>
      </c>
      <c r="F99" t="s">
        <v>112</v>
      </c>
      <c r="G99" t="s">
        <v>68</v>
      </c>
      <c r="H99" t="s">
        <v>69</v>
      </c>
      <c r="I99" t="str">
        <f t="shared" si="5"/>
        <v>virginie.villiere@berger-levrault.com</v>
      </c>
      <c r="J99" t="s">
        <v>5</v>
      </c>
      <c r="K99" t="str">
        <f t="shared" si="6"/>
        <v>karine raepsaet</v>
      </c>
      <c r="L99" t="s">
        <v>105</v>
      </c>
      <c r="M99" t="s">
        <v>67</v>
      </c>
      <c r="N99" t="s">
        <v>106</v>
      </c>
      <c r="O99" t="s">
        <v>68</v>
      </c>
      <c r="P99" t="s">
        <v>69</v>
      </c>
      <c r="Q99" t="str">
        <f t="shared" si="7"/>
        <v>karine.raepsaet@berger-levrault.com</v>
      </c>
    </row>
    <row r="100" spans="1:17" x14ac:dyDescent="0.25">
      <c r="A100" t="s">
        <v>2</v>
      </c>
      <c r="B100" t="s">
        <v>36</v>
      </c>
      <c r="C100" t="str">
        <f t="shared" si="4"/>
        <v>virginie villiere</v>
      </c>
      <c r="D100" t="s">
        <v>70</v>
      </c>
      <c r="E100" t="s">
        <v>67</v>
      </c>
      <c r="F100" t="s">
        <v>112</v>
      </c>
      <c r="G100" t="s">
        <v>68</v>
      </c>
      <c r="H100" t="s">
        <v>69</v>
      </c>
      <c r="I100" t="str">
        <f t="shared" si="5"/>
        <v>virginie.villiere@berger-levrault.com</v>
      </c>
      <c r="J100" t="s">
        <v>5</v>
      </c>
      <c r="K100" t="str">
        <f t="shared" si="6"/>
        <v>karine raepsaet</v>
      </c>
      <c r="L100" t="s">
        <v>105</v>
      </c>
      <c r="M100" t="s">
        <v>67</v>
      </c>
      <c r="N100" t="s">
        <v>106</v>
      </c>
      <c r="O100" t="s">
        <v>68</v>
      </c>
      <c r="P100" t="s">
        <v>69</v>
      </c>
      <c r="Q100" t="str">
        <f t="shared" si="7"/>
        <v>karine.raepsaet@berger-levrault.com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70B7-246A-4C52-9C0F-5D7FF3F65934}">
  <dimension ref="A1:I15"/>
  <sheetViews>
    <sheetView workbookViewId="0">
      <selection sqref="A1:XFD1048576"/>
    </sheetView>
  </sheetViews>
  <sheetFormatPr baseColWidth="10" defaultRowHeight="15" x14ac:dyDescent="0.25"/>
  <cols>
    <col min="2" max="2" width="17.7109375" bestFit="1" customWidth="1"/>
    <col min="3" max="3" width="14.7109375" bestFit="1" customWidth="1"/>
    <col min="8" max="8" width="17" bestFit="1" customWidth="1"/>
    <col min="9" max="9" width="32.85546875" bestFit="1" customWidth="1"/>
  </cols>
  <sheetData>
    <row r="1" spans="1:9" x14ac:dyDescent="0.25">
      <c r="A1" t="s">
        <v>0</v>
      </c>
      <c r="B1" s="11" t="s">
        <v>45</v>
      </c>
      <c r="I1" t="s">
        <v>46</v>
      </c>
    </row>
    <row r="2" spans="1:9" x14ac:dyDescent="0.25">
      <c r="A2">
        <v>971</v>
      </c>
      <c r="B2" t="s">
        <v>43</v>
      </c>
      <c r="C2" t="str">
        <f>LOWER(B2)</f>
        <v>fatiha houhamdi</v>
      </c>
      <c r="D2" t="s">
        <v>117</v>
      </c>
      <c r="E2" t="s">
        <v>67</v>
      </c>
      <c r="F2" t="s">
        <v>118</v>
      </c>
      <c r="G2" t="s">
        <v>68</v>
      </c>
      <c r="H2" t="s">
        <v>69</v>
      </c>
      <c r="I2" t="str">
        <f>CONCATENATE(D2,E2,F2,G2,H2)</f>
        <v>fatiha.houhamdi@berger-levrault.com</v>
      </c>
    </row>
    <row r="3" spans="1:9" x14ac:dyDescent="0.25">
      <c r="A3">
        <v>972</v>
      </c>
      <c r="B3" t="s">
        <v>43</v>
      </c>
      <c r="C3" t="str">
        <f t="shared" ref="C3:C15" si="0">LOWER(B3)</f>
        <v>fatiha houhamdi</v>
      </c>
      <c r="D3" t="s">
        <v>117</v>
      </c>
      <c r="E3" t="s">
        <v>67</v>
      </c>
      <c r="F3" t="s">
        <v>118</v>
      </c>
      <c r="G3" t="s">
        <v>68</v>
      </c>
      <c r="H3" t="s">
        <v>69</v>
      </c>
      <c r="I3" t="str">
        <f t="shared" ref="I3:I15" si="1">CONCATENATE(D3,E3,F3,G3,H3)</f>
        <v>fatiha.houhamdi@berger-levrault.com</v>
      </c>
    </row>
    <row r="4" spans="1:9" x14ac:dyDescent="0.25">
      <c r="A4">
        <v>973</v>
      </c>
      <c r="B4" t="s">
        <v>43</v>
      </c>
      <c r="C4" t="str">
        <f t="shared" si="0"/>
        <v>fatiha houhamdi</v>
      </c>
      <c r="D4" t="s">
        <v>117</v>
      </c>
      <c r="E4" t="s">
        <v>67</v>
      </c>
      <c r="F4" t="s">
        <v>118</v>
      </c>
      <c r="G4" t="s">
        <v>68</v>
      </c>
      <c r="H4" t="s">
        <v>69</v>
      </c>
      <c r="I4" t="str">
        <f t="shared" si="1"/>
        <v>fatiha.houhamdi@berger-levrault.com</v>
      </c>
    </row>
    <row r="5" spans="1:9" x14ac:dyDescent="0.25">
      <c r="A5">
        <v>974</v>
      </c>
      <c r="B5" t="s">
        <v>43</v>
      </c>
      <c r="C5" t="str">
        <f t="shared" si="0"/>
        <v>fatiha houhamdi</v>
      </c>
      <c r="D5" t="s">
        <v>117</v>
      </c>
      <c r="E5" t="s">
        <v>67</v>
      </c>
      <c r="F5" t="s">
        <v>118</v>
      </c>
      <c r="G5" t="s">
        <v>68</v>
      </c>
      <c r="H5" t="s">
        <v>69</v>
      </c>
      <c r="I5" t="str">
        <f t="shared" si="1"/>
        <v>fatiha.houhamdi@berger-levrault.com</v>
      </c>
    </row>
    <row r="6" spans="1:9" x14ac:dyDescent="0.25">
      <c r="A6">
        <v>975</v>
      </c>
      <c r="B6" t="s">
        <v>43</v>
      </c>
      <c r="C6" t="str">
        <f t="shared" si="0"/>
        <v>fatiha houhamdi</v>
      </c>
      <c r="D6" t="s">
        <v>117</v>
      </c>
      <c r="E6" t="s">
        <v>67</v>
      </c>
      <c r="F6" t="s">
        <v>118</v>
      </c>
      <c r="G6" t="s">
        <v>68</v>
      </c>
      <c r="H6" t="s">
        <v>69</v>
      </c>
      <c r="I6" t="str">
        <f t="shared" si="1"/>
        <v>fatiha.houhamdi@berger-levrault.com</v>
      </c>
    </row>
    <row r="7" spans="1:9" x14ac:dyDescent="0.25">
      <c r="A7">
        <v>976</v>
      </c>
      <c r="B7" t="s">
        <v>43</v>
      </c>
      <c r="C7" t="str">
        <f t="shared" si="0"/>
        <v>fatiha houhamdi</v>
      </c>
      <c r="D7" t="s">
        <v>117</v>
      </c>
      <c r="E7" t="s">
        <v>67</v>
      </c>
      <c r="F7" t="s">
        <v>118</v>
      </c>
      <c r="G7" t="s">
        <v>68</v>
      </c>
      <c r="H7" t="s">
        <v>69</v>
      </c>
      <c r="I7" t="str">
        <f t="shared" si="1"/>
        <v>fatiha.houhamdi@berger-levrault.com</v>
      </c>
    </row>
    <row r="8" spans="1:9" x14ac:dyDescent="0.25">
      <c r="A8" t="s">
        <v>0</v>
      </c>
      <c r="B8" s="11" t="s">
        <v>116</v>
      </c>
      <c r="I8" t="str">
        <f t="shared" si="1"/>
        <v/>
      </c>
    </row>
    <row r="9" spans="1:9" x14ac:dyDescent="0.25">
      <c r="A9">
        <v>977</v>
      </c>
      <c r="B9" t="s">
        <v>44</v>
      </c>
      <c r="C9" t="str">
        <f t="shared" si="0"/>
        <v>frederic uhlmann</v>
      </c>
      <c r="D9" t="s">
        <v>119</v>
      </c>
      <c r="E9" t="s">
        <v>67</v>
      </c>
      <c r="F9" t="s">
        <v>120</v>
      </c>
      <c r="G9" t="s">
        <v>68</v>
      </c>
      <c r="H9" t="s">
        <v>69</v>
      </c>
      <c r="I9" t="str">
        <f t="shared" si="1"/>
        <v>frederic.uhlmann@berger-levrault.com</v>
      </c>
    </row>
    <row r="10" spans="1:9" x14ac:dyDescent="0.25">
      <c r="A10">
        <v>978</v>
      </c>
      <c r="B10" t="s">
        <v>44</v>
      </c>
      <c r="C10" t="str">
        <f t="shared" si="0"/>
        <v>frederic uhlmann</v>
      </c>
      <c r="D10" t="s">
        <v>119</v>
      </c>
      <c r="E10" t="s">
        <v>67</v>
      </c>
      <c r="F10" t="s">
        <v>120</v>
      </c>
      <c r="G10" t="s">
        <v>68</v>
      </c>
      <c r="H10" t="s">
        <v>69</v>
      </c>
      <c r="I10" t="str">
        <f t="shared" si="1"/>
        <v>frederic.uhlmann@berger-levrault.com</v>
      </c>
    </row>
    <row r="11" spans="1:9" x14ac:dyDescent="0.25">
      <c r="A11">
        <v>984</v>
      </c>
      <c r="B11" t="s">
        <v>44</v>
      </c>
      <c r="C11" t="str">
        <f t="shared" si="0"/>
        <v>frederic uhlmann</v>
      </c>
      <c r="D11" t="s">
        <v>119</v>
      </c>
      <c r="E11" t="s">
        <v>67</v>
      </c>
      <c r="F11" t="s">
        <v>120</v>
      </c>
      <c r="G11" t="s">
        <v>68</v>
      </c>
      <c r="H11" t="s">
        <v>69</v>
      </c>
      <c r="I11" t="str">
        <f t="shared" si="1"/>
        <v>frederic.uhlmann@berger-levrault.com</v>
      </c>
    </row>
    <row r="12" spans="1:9" x14ac:dyDescent="0.25">
      <c r="A12">
        <v>986</v>
      </c>
      <c r="B12" t="s">
        <v>44</v>
      </c>
      <c r="C12" t="str">
        <f t="shared" si="0"/>
        <v>frederic uhlmann</v>
      </c>
      <c r="D12" t="s">
        <v>119</v>
      </c>
      <c r="E12" t="s">
        <v>67</v>
      </c>
      <c r="F12" t="s">
        <v>120</v>
      </c>
      <c r="G12" t="s">
        <v>68</v>
      </c>
      <c r="H12" t="s">
        <v>69</v>
      </c>
      <c r="I12" t="str">
        <f t="shared" si="1"/>
        <v>frederic.uhlmann@berger-levrault.com</v>
      </c>
    </row>
    <row r="13" spans="1:9" x14ac:dyDescent="0.25">
      <c r="A13">
        <v>987</v>
      </c>
      <c r="B13" t="s">
        <v>44</v>
      </c>
      <c r="C13" t="str">
        <f t="shared" si="0"/>
        <v>frederic uhlmann</v>
      </c>
      <c r="D13" t="s">
        <v>119</v>
      </c>
      <c r="E13" t="s">
        <v>67</v>
      </c>
      <c r="F13" t="s">
        <v>120</v>
      </c>
      <c r="G13" t="s">
        <v>68</v>
      </c>
      <c r="H13" t="s">
        <v>69</v>
      </c>
      <c r="I13" t="str">
        <f t="shared" si="1"/>
        <v>frederic.uhlmann@berger-levrault.com</v>
      </c>
    </row>
    <row r="14" spans="1:9" x14ac:dyDescent="0.25">
      <c r="A14">
        <v>988</v>
      </c>
      <c r="B14" t="s">
        <v>44</v>
      </c>
      <c r="C14" t="str">
        <f t="shared" si="0"/>
        <v>frederic uhlmann</v>
      </c>
      <c r="D14" t="s">
        <v>119</v>
      </c>
      <c r="E14" t="s">
        <v>67</v>
      </c>
      <c r="F14" t="s">
        <v>120</v>
      </c>
      <c r="G14" t="s">
        <v>68</v>
      </c>
      <c r="H14" t="s">
        <v>69</v>
      </c>
      <c r="I14" t="str">
        <f t="shared" si="1"/>
        <v>frederic.uhlmann@berger-levrault.com</v>
      </c>
    </row>
    <row r="15" spans="1:9" x14ac:dyDescent="0.25">
      <c r="A15">
        <v>989</v>
      </c>
      <c r="B15" t="s">
        <v>44</v>
      </c>
      <c r="C15" t="str">
        <f t="shared" si="0"/>
        <v>frederic uhlmann</v>
      </c>
      <c r="D15" t="s">
        <v>119</v>
      </c>
      <c r="E15" t="s">
        <v>67</v>
      </c>
      <c r="F15" t="s">
        <v>120</v>
      </c>
      <c r="G15" t="s">
        <v>68</v>
      </c>
      <c r="H15" t="s">
        <v>69</v>
      </c>
      <c r="I15" t="str">
        <f t="shared" si="1"/>
        <v>frederic.uhlmann@berger-levrault.com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SOURCE</vt:lpstr>
      <vt:lpstr>Table T3,4</vt:lpstr>
      <vt:lpstr>TIERS 0,1,2,3,4</vt:lpstr>
      <vt:lpstr>Table T2</vt:lpstr>
      <vt:lpstr>Table T0,1</vt:lpstr>
      <vt:lpstr>Table OUTREMER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JAUNET Elodie</dc:creator>
  <cp:lastModifiedBy>FOURCADE Arnaud</cp:lastModifiedBy>
  <dcterms:created xsi:type="dcterms:W3CDTF">2024-04-26T13:20:00Z</dcterms:created>
  <dcterms:modified xsi:type="dcterms:W3CDTF">2024-07-24T09:49:46Z</dcterms:modified>
</cp:coreProperties>
</file>